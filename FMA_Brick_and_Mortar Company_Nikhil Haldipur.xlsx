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777443e8f5120ddb/Desktop/Nikhil Upgrad/"/>
    </mc:Choice>
  </mc:AlternateContent>
  <xr:revisionPtr revIDLastSave="1" documentId="14_{D8D7A828-02A3-48BD-B115-852DC3EE58D1}" xr6:coauthVersionLast="47" xr6:coauthVersionMax="47" xr10:uidLastSave="{41D4A51E-3D62-4C26-829A-4B8DBB02C8AA}"/>
  <bookViews>
    <workbookView xWindow="-120" yWindow="-120" windowWidth="20730" windowHeight="11040" activeTab="1" xr2:uid="{00000000-000D-0000-FFFF-FFFF00000000}"/>
  </bookViews>
  <sheets>
    <sheet name="M&amp;A Assumptions &amp; Analysis" sheetId="1" r:id="rId1"/>
    <sheet name="Pro Forma Model" sheetId="2" r:id="rId2"/>
    <sheet name="Acquirer Model" sheetId="3" r:id="rId3"/>
    <sheet name="Target Model" sheetId="4" r:id="rId4"/>
  </sheets>
  <definedNames>
    <definedName name="CIQWBGuid">"2cd8126d-26c3-430c-b7fa-a069e3a1fc62"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43412.7003240741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0M0FN7gcNrRCPT7SNaSulvdlPhiGwy5GC/CoMamt9hY="/>
    </ext>
  </extLst>
</workbook>
</file>

<file path=xl/calcChain.xml><?xml version="1.0" encoding="utf-8"?>
<calcChain xmlns="http://schemas.openxmlformats.org/spreadsheetml/2006/main">
  <c r="N111" i="2" l="1"/>
  <c r="E186" i="2"/>
  <c r="F186" i="2"/>
  <c r="G186" i="2"/>
  <c r="H186" i="2"/>
  <c r="I186" i="2"/>
  <c r="D186" i="2"/>
  <c r="I188" i="2"/>
  <c r="C191" i="2"/>
  <c r="N69" i="2"/>
  <c r="M69" i="2"/>
  <c r="L69" i="2"/>
  <c r="K69" i="2"/>
  <c r="J69" i="2"/>
  <c r="L72" i="1"/>
  <c r="E72" i="1"/>
  <c r="D72" i="1"/>
  <c r="L71" i="1"/>
  <c r="L68" i="1"/>
  <c r="L78" i="1"/>
  <c r="M71" i="1"/>
  <c r="M70" i="1"/>
  <c r="M68" i="1"/>
  <c r="L70" i="1"/>
  <c r="G70" i="1"/>
  <c r="G68" i="1"/>
  <c r="C197" i="2"/>
  <c r="C199" i="2"/>
  <c r="F131" i="1"/>
  <c r="C186" i="3"/>
  <c r="C188" i="3"/>
  <c r="F130" i="1"/>
  <c r="F132" i="1"/>
  <c r="J45" i="2"/>
  <c r="K45" i="2"/>
  <c r="L45" i="2"/>
  <c r="M45" i="2"/>
  <c r="N45" i="2"/>
  <c r="I45" i="2"/>
  <c r="M69" i="1"/>
  <c r="M72" i="1"/>
  <c r="M77" i="1"/>
  <c r="M76" i="1"/>
  <c r="L76" i="1"/>
  <c r="G76" i="1"/>
  <c r="E84" i="1"/>
  <c r="F84" i="1"/>
  <c r="G84" i="1"/>
  <c r="H84" i="1"/>
  <c r="I84" i="1"/>
  <c r="J84" i="1"/>
  <c r="K84" i="1"/>
  <c r="L77" i="1"/>
  <c r="D84" i="1"/>
  <c r="L82" i="1"/>
  <c r="L81" i="1"/>
  <c r="M51" i="1"/>
  <c r="M50" i="1"/>
  <c r="F53" i="1"/>
  <c r="F50" i="1"/>
  <c r="F51" i="1"/>
  <c r="I180" i="2"/>
  <c r="H180" i="2"/>
  <c r="G180" i="2"/>
  <c r="F180" i="2"/>
  <c r="E180" i="2"/>
  <c r="D180" i="2"/>
  <c r="J104" i="1"/>
  <c r="K104" i="1"/>
  <c r="L104" i="1"/>
  <c r="M104" i="1"/>
  <c r="I104" i="1"/>
  <c r="J44" i="2"/>
  <c r="K44" i="2"/>
  <c r="L44" i="2"/>
  <c r="M44" i="2"/>
  <c r="N44" i="2"/>
  <c r="I44" i="2"/>
  <c r="I41" i="2"/>
  <c r="I42" i="2"/>
  <c r="I67" i="2"/>
  <c r="I68" i="2"/>
  <c r="I69" i="2"/>
  <c r="J111" i="2"/>
  <c r="J54" i="2"/>
  <c r="J57" i="2"/>
  <c r="K54" i="2"/>
  <c r="K57" i="2"/>
  <c r="L54" i="2"/>
  <c r="L57" i="2"/>
  <c r="M54" i="2"/>
  <c r="M57" i="2"/>
  <c r="N54" i="2"/>
  <c r="N57" i="2"/>
  <c r="I54" i="2"/>
  <c r="I57" i="2"/>
  <c r="J41" i="2"/>
  <c r="J42" i="2"/>
  <c r="E179" i="2"/>
  <c r="E181" i="2"/>
  <c r="K41" i="2"/>
  <c r="K42" i="2"/>
  <c r="F179" i="2"/>
  <c r="F181" i="2"/>
  <c r="L41" i="2"/>
  <c r="L42" i="2"/>
  <c r="G179" i="2"/>
  <c r="G181" i="2"/>
  <c r="M41" i="2"/>
  <c r="M42" i="2"/>
  <c r="H179" i="2"/>
  <c r="H181" i="2"/>
  <c r="N41" i="2"/>
  <c r="N42" i="2"/>
  <c r="I179" i="2"/>
  <c r="I181" i="2"/>
  <c r="J67" i="2"/>
  <c r="K67" i="2"/>
  <c r="L67" i="2"/>
  <c r="M67" i="2"/>
  <c r="N67" i="2"/>
  <c r="K111" i="2"/>
  <c r="K112" i="2"/>
  <c r="L109" i="2"/>
  <c r="L111" i="2"/>
  <c r="L112" i="2"/>
  <c r="M109" i="2"/>
  <c r="M111" i="2"/>
  <c r="M112" i="2"/>
  <c r="N109" i="2"/>
  <c r="I111" i="2"/>
  <c r="D179" i="2"/>
  <c r="J121" i="1"/>
  <c r="K121" i="1"/>
  <c r="L121" i="1"/>
  <c r="M121" i="1"/>
  <c r="I121" i="1"/>
  <c r="J106" i="1"/>
  <c r="K106" i="1"/>
  <c r="L106" i="1"/>
  <c r="M106" i="1"/>
  <c r="I106" i="1"/>
  <c r="J118" i="1"/>
  <c r="K118" i="1"/>
  <c r="L118" i="1"/>
  <c r="M118" i="1"/>
  <c r="I118" i="1"/>
  <c r="J117" i="1"/>
  <c r="K117" i="1"/>
  <c r="L117" i="1"/>
  <c r="M117" i="1"/>
  <c r="I117" i="1"/>
  <c r="I102" i="1"/>
  <c r="J102" i="1"/>
  <c r="K102" i="1"/>
  <c r="L102" i="1"/>
  <c r="M102" i="1"/>
  <c r="I66" i="2"/>
  <c r="H143" i="2"/>
  <c r="I141" i="2"/>
  <c r="I132" i="2"/>
  <c r="I137" i="2"/>
  <c r="I142" i="2"/>
  <c r="I143" i="2"/>
  <c r="I64" i="2"/>
  <c r="I71" i="2"/>
  <c r="J66" i="2"/>
  <c r="J68" i="2"/>
  <c r="J141" i="2"/>
  <c r="J132" i="2"/>
  <c r="J137" i="2"/>
  <c r="J142" i="2"/>
  <c r="J143" i="2"/>
  <c r="J64" i="2"/>
  <c r="J71" i="2"/>
  <c r="K66" i="2"/>
  <c r="K68" i="2"/>
  <c r="K141" i="2"/>
  <c r="K143" i="2"/>
  <c r="K64" i="2"/>
  <c r="K71" i="2"/>
  <c r="L66" i="2"/>
  <c r="L68" i="2"/>
  <c r="L141" i="2"/>
  <c r="L132" i="2"/>
  <c r="L137" i="2"/>
  <c r="L142" i="2"/>
  <c r="L143" i="2"/>
  <c r="L64" i="2"/>
  <c r="L71" i="2"/>
  <c r="M66" i="2"/>
  <c r="M68" i="2"/>
  <c r="M141" i="2"/>
  <c r="M132" i="2"/>
  <c r="M137" i="2"/>
  <c r="M142" i="2"/>
  <c r="M143" i="2"/>
  <c r="M64" i="2"/>
  <c r="M71" i="2"/>
  <c r="N66" i="2"/>
  <c r="N68" i="2"/>
  <c r="N141" i="2"/>
  <c r="N137" i="2"/>
  <c r="N142" i="2"/>
  <c r="N143" i="2"/>
  <c r="N64" i="2"/>
  <c r="N71" i="2"/>
  <c r="H54" i="2"/>
  <c r="H71" i="2"/>
  <c r="J98" i="4"/>
  <c r="J99" i="4"/>
  <c r="J84" i="4"/>
  <c r="J87" i="4"/>
  <c r="J101" i="4"/>
  <c r="J91" i="4"/>
  <c r="K91" i="4"/>
  <c r="L91" i="4"/>
  <c r="M91" i="4"/>
  <c r="N91" i="4"/>
  <c r="O91" i="4"/>
  <c r="P91" i="4"/>
  <c r="I91" i="4"/>
  <c r="P148" i="4"/>
  <c r="O148" i="4"/>
  <c r="P71" i="4"/>
  <c r="P72" i="4"/>
  <c r="P74" i="4"/>
  <c r="P75" i="4"/>
  <c r="P107" i="4"/>
  <c r="P110" i="4"/>
  <c r="I71" i="4"/>
  <c r="I72" i="4"/>
  <c r="I74" i="4"/>
  <c r="I75" i="4"/>
  <c r="I97" i="4"/>
  <c r="J71" i="4"/>
  <c r="J72" i="4"/>
  <c r="J74" i="4"/>
  <c r="J75" i="4"/>
  <c r="J97" i="4"/>
  <c r="K71" i="4"/>
  <c r="K72" i="4"/>
  <c r="K74" i="4"/>
  <c r="K75" i="4"/>
  <c r="K97" i="4"/>
  <c r="L71" i="4"/>
  <c r="L72" i="4"/>
  <c r="L74" i="4"/>
  <c r="L75" i="4"/>
  <c r="L97" i="4"/>
  <c r="M71" i="4"/>
  <c r="M72" i="4"/>
  <c r="M74" i="4"/>
  <c r="M75" i="4"/>
  <c r="M97" i="4"/>
  <c r="N71" i="4"/>
  <c r="N72" i="4"/>
  <c r="N74" i="4"/>
  <c r="N75" i="4"/>
  <c r="N97" i="4"/>
  <c r="O71" i="4"/>
  <c r="O72" i="4"/>
  <c r="O74" i="4"/>
  <c r="O75" i="4"/>
  <c r="O97" i="4"/>
  <c r="P97" i="4"/>
  <c r="J141" i="4"/>
  <c r="J142" i="4"/>
  <c r="K139" i="4"/>
  <c r="K141" i="4"/>
  <c r="K142" i="4"/>
  <c r="L139" i="4"/>
  <c r="L141" i="4"/>
  <c r="L142" i="4"/>
  <c r="M139" i="4"/>
  <c r="M141" i="4"/>
  <c r="M142" i="4"/>
  <c r="N139" i="4"/>
  <c r="N141" i="4"/>
  <c r="O141" i="4"/>
  <c r="O142" i="4"/>
  <c r="P139" i="4"/>
  <c r="P141" i="4"/>
  <c r="I141" i="4"/>
  <c r="J83" i="4"/>
  <c r="K83" i="4"/>
  <c r="L83" i="4"/>
  <c r="M83" i="4"/>
  <c r="N83" i="4"/>
  <c r="O83" i="4"/>
  <c r="P83" i="4"/>
  <c r="I83" i="4"/>
  <c r="O97" i="3"/>
  <c r="E66" i="1"/>
  <c r="G66" i="1"/>
  <c r="M39" i="1"/>
  <c r="M41" i="1"/>
  <c r="J66" i="1"/>
  <c r="K66" i="1"/>
  <c r="I66" i="1"/>
  <c r="L66" i="1"/>
  <c r="M66" i="1"/>
  <c r="E68" i="1"/>
  <c r="F68" i="1"/>
  <c r="O84" i="4"/>
  <c r="O87" i="4"/>
  <c r="O92" i="4"/>
  <c r="O94" i="4"/>
  <c r="M52" i="1"/>
  <c r="M54" i="1"/>
  <c r="M55" i="1"/>
  <c r="M56" i="1"/>
  <c r="H71" i="1"/>
  <c r="E70" i="1"/>
  <c r="F70" i="1"/>
  <c r="E82" i="1"/>
  <c r="G82" i="1"/>
  <c r="H82" i="1"/>
  <c r="J82" i="1"/>
  <c r="M82" i="1"/>
  <c r="M81" i="1"/>
  <c r="M83" i="1"/>
  <c r="E76" i="1"/>
  <c r="K78" i="1"/>
  <c r="I78" i="1"/>
  <c r="P87" i="3"/>
  <c r="O87" i="3"/>
  <c r="P99" i="3"/>
  <c r="O99" i="3"/>
  <c r="P84" i="4"/>
  <c r="P87" i="4"/>
  <c r="P98" i="4"/>
  <c r="P92" i="4"/>
  <c r="P94" i="4"/>
  <c r="P99" i="4"/>
  <c r="P101" i="4"/>
  <c r="O98" i="4"/>
  <c r="O99" i="4"/>
  <c r="O101" i="4"/>
  <c r="P101" i="3"/>
  <c r="O101" i="3"/>
  <c r="J84" i="3"/>
  <c r="J87" i="3"/>
  <c r="I101" i="3"/>
  <c r="J71" i="3"/>
  <c r="J72" i="3"/>
  <c r="J74" i="3"/>
  <c r="K71" i="3"/>
  <c r="K72" i="3"/>
  <c r="K74" i="3"/>
  <c r="L71" i="3"/>
  <c r="L72" i="3"/>
  <c r="L74" i="3"/>
  <c r="M71" i="3"/>
  <c r="M72" i="3"/>
  <c r="M74" i="3"/>
  <c r="N71" i="3"/>
  <c r="N72" i="3"/>
  <c r="N74" i="3"/>
  <c r="O71" i="3"/>
  <c r="O72" i="3"/>
  <c r="O74" i="3"/>
  <c r="P71" i="3"/>
  <c r="P72" i="3"/>
  <c r="P74" i="3"/>
  <c r="I71" i="3"/>
  <c r="I72" i="3"/>
  <c r="I74" i="3"/>
  <c r="E101" i="4"/>
  <c r="F101" i="4"/>
  <c r="G101" i="4"/>
  <c r="H98" i="4"/>
  <c r="H99" i="4"/>
  <c r="H101" i="4"/>
  <c r="I84" i="4"/>
  <c r="I87" i="4"/>
  <c r="I98" i="4"/>
  <c r="I92" i="4"/>
  <c r="I94" i="4"/>
  <c r="I99" i="4"/>
  <c r="I101" i="4"/>
  <c r="J92" i="4"/>
  <c r="J94" i="4"/>
  <c r="K84" i="4"/>
  <c r="K98" i="4"/>
  <c r="K92" i="4"/>
  <c r="K94" i="4"/>
  <c r="K99" i="4"/>
  <c r="K101" i="4"/>
  <c r="L87" i="4"/>
  <c r="L98" i="4"/>
  <c r="L92" i="4"/>
  <c r="L94" i="4"/>
  <c r="L99" i="4"/>
  <c r="L101" i="4"/>
  <c r="M84" i="4"/>
  <c r="M87" i="4"/>
  <c r="M98" i="4"/>
  <c r="M92" i="4"/>
  <c r="M94" i="4"/>
  <c r="M99" i="4"/>
  <c r="M101" i="4"/>
  <c r="N84" i="4"/>
  <c r="N98" i="4"/>
  <c r="N92" i="4"/>
  <c r="N94" i="4"/>
  <c r="N99" i="4"/>
  <c r="N101" i="4"/>
  <c r="D101" i="4"/>
  <c r="E101" i="3"/>
  <c r="F101" i="3"/>
  <c r="G101" i="3"/>
  <c r="H101" i="3"/>
  <c r="I75" i="3"/>
  <c r="I97" i="3"/>
  <c r="J75" i="3"/>
  <c r="J97" i="3"/>
  <c r="J98" i="3"/>
  <c r="J99" i="3"/>
  <c r="J101" i="3"/>
  <c r="K84" i="3"/>
  <c r="K87" i="3"/>
  <c r="K75" i="3"/>
  <c r="K97" i="3"/>
  <c r="K98" i="3"/>
  <c r="K99" i="3"/>
  <c r="K101" i="3"/>
  <c r="L84" i="3"/>
  <c r="L87" i="3"/>
  <c r="L75" i="3"/>
  <c r="L97" i="3"/>
  <c r="L98" i="3"/>
  <c r="L99" i="3"/>
  <c r="L101" i="3"/>
  <c r="M84" i="3"/>
  <c r="M87" i="3"/>
  <c r="M75" i="3"/>
  <c r="M97" i="3"/>
  <c r="M98" i="3"/>
  <c r="M99" i="3"/>
  <c r="M101" i="3"/>
  <c r="N84" i="3"/>
  <c r="N87" i="3"/>
  <c r="N75" i="3"/>
  <c r="N97" i="3"/>
  <c r="N98" i="3"/>
  <c r="N99" i="3"/>
  <c r="N101" i="3"/>
  <c r="O147" i="3"/>
  <c r="O148" i="3"/>
  <c r="O70" i="3"/>
  <c r="O75" i="3"/>
  <c r="O98" i="3"/>
  <c r="O94" i="3"/>
  <c r="O84" i="3"/>
  <c r="P145" i="3"/>
  <c r="P147" i="3"/>
  <c r="P148" i="3"/>
  <c r="P70" i="3"/>
  <c r="P75" i="3"/>
  <c r="P97" i="3"/>
  <c r="P98" i="3"/>
  <c r="P94" i="3"/>
  <c r="P84" i="3"/>
  <c r="D101" i="3"/>
  <c r="J80" i="2"/>
  <c r="K80" i="2"/>
  <c r="L80" i="2"/>
  <c r="M80" i="2"/>
  <c r="N80" i="2"/>
  <c r="I80" i="2"/>
  <c r="P141" i="3"/>
  <c r="O141" i="3"/>
  <c r="J91" i="3"/>
  <c r="K91" i="3"/>
  <c r="L91" i="3"/>
  <c r="M91" i="3"/>
  <c r="N91" i="3"/>
  <c r="O91" i="3"/>
  <c r="P91" i="3"/>
  <c r="I91" i="3"/>
  <c r="J83" i="3"/>
  <c r="K83" i="3"/>
  <c r="L83" i="3"/>
  <c r="M83" i="3"/>
  <c r="N83" i="3"/>
  <c r="O83" i="3"/>
  <c r="P83" i="3"/>
  <c r="I83" i="3"/>
  <c r="J82" i="3"/>
  <c r="K82" i="3"/>
  <c r="L82" i="3"/>
  <c r="M82" i="3"/>
  <c r="N82" i="3"/>
  <c r="O82" i="3"/>
  <c r="P82" i="3"/>
  <c r="I82" i="3"/>
  <c r="D110" i="4"/>
  <c r="D123" i="4"/>
  <c r="D124" i="4"/>
  <c r="P133" i="4"/>
  <c r="P134" i="4"/>
  <c r="P135" i="4"/>
  <c r="O133" i="4"/>
  <c r="O134" i="4"/>
  <c r="O135" i="4"/>
  <c r="P136" i="4"/>
  <c r="N133" i="4"/>
  <c r="N134" i="4"/>
  <c r="N135" i="4"/>
  <c r="O136" i="4"/>
  <c r="H102" i="2"/>
  <c r="H103" i="2"/>
  <c r="H104" i="2"/>
  <c r="H105" i="2"/>
  <c r="I106" i="2"/>
  <c r="D181" i="2"/>
  <c r="D188" i="2"/>
  <c r="D189" i="2"/>
  <c r="E188" i="2"/>
  <c r="E189" i="2"/>
  <c r="F188" i="2"/>
  <c r="F189" i="2"/>
  <c r="G188" i="2"/>
  <c r="G189" i="2"/>
  <c r="H188" i="2"/>
  <c r="H189" i="2"/>
  <c r="I189" i="2"/>
  <c r="K189" i="2"/>
  <c r="C192" i="2"/>
  <c r="J82" i="4"/>
  <c r="K82" i="4"/>
  <c r="L82" i="4"/>
  <c r="M82" i="4"/>
  <c r="N82" i="4"/>
  <c r="O82" i="4"/>
  <c r="P82" i="4"/>
  <c r="K132" i="4"/>
  <c r="K133" i="4"/>
  <c r="K134" i="4"/>
  <c r="K135" i="4"/>
  <c r="J132" i="4"/>
  <c r="J133" i="4"/>
  <c r="J134" i="4"/>
  <c r="J135" i="4"/>
  <c r="K136" i="4"/>
  <c r="K107" i="4"/>
  <c r="K110" i="4"/>
  <c r="K123" i="4"/>
  <c r="J107" i="4"/>
  <c r="J110" i="4"/>
  <c r="J123" i="4"/>
  <c r="I107" i="4"/>
  <c r="I110" i="4"/>
  <c r="I123" i="4"/>
  <c r="H110" i="4"/>
  <c r="H123" i="4"/>
  <c r="G110" i="4"/>
  <c r="G123" i="4"/>
  <c r="F110" i="4"/>
  <c r="F123" i="4"/>
  <c r="E110" i="4"/>
  <c r="E123" i="4"/>
  <c r="D125" i="4"/>
  <c r="E124" i="4"/>
  <c r="E125" i="4"/>
  <c r="F124" i="4"/>
  <c r="F125" i="4"/>
  <c r="G124" i="4"/>
  <c r="G125" i="4"/>
  <c r="H124" i="4"/>
  <c r="H125" i="4"/>
  <c r="I124" i="4"/>
  <c r="I125" i="4"/>
  <c r="J124" i="4"/>
  <c r="J125" i="4"/>
  <c r="K124" i="4"/>
  <c r="K125" i="4"/>
  <c r="L132" i="4"/>
  <c r="L133" i="4"/>
  <c r="L134" i="4"/>
  <c r="L135" i="4"/>
  <c r="L136" i="4"/>
  <c r="L107" i="4"/>
  <c r="L110" i="4"/>
  <c r="L123" i="4"/>
  <c r="L124" i="4"/>
  <c r="L125" i="4"/>
  <c r="M132" i="4"/>
  <c r="M133" i="4"/>
  <c r="M134" i="4"/>
  <c r="M135" i="4"/>
  <c r="M136" i="4"/>
  <c r="M107" i="4"/>
  <c r="M110" i="4"/>
  <c r="M123" i="4"/>
  <c r="M124" i="4"/>
  <c r="M125" i="4"/>
  <c r="N132" i="4"/>
  <c r="N136" i="4"/>
  <c r="N107" i="4"/>
  <c r="N110" i="4"/>
  <c r="N123" i="4"/>
  <c r="N124" i="4"/>
  <c r="N125" i="4"/>
  <c r="O132" i="4"/>
  <c r="O107" i="4"/>
  <c r="O110" i="4"/>
  <c r="O123" i="4"/>
  <c r="O125" i="4"/>
  <c r="O147" i="4"/>
  <c r="I84" i="3"/>
  <c r="I87" i="3"/>
  <c r="I92" i="3"/>
  <c r="I94" i="3"/>
  <c r="I98" i="3"/>
  <c r="I99" i="3"/>
  <c r="J92" i="3"/>
  <c r="J94" i="3"/>
  <c r="K92" i="3"/>
  <c r="K94" i="3"/>
  <c r="L92" i="3"/>
  <c r="L94" i="3"/>
  <c r="M92" i="3"/>
  <c r="M94" i="3"/>
  <c r="N92" i="3"/>
  <c r="N94" i="3"/>
  <c r="O92" i="3"/>
  <c r="P92" i="3"/>
  <c r="O142" i="3"/>
  <c r="P139" i="3"/>
  <c r="E136" i="3"/>
  <c r="F136" i="3"/>
  <c r="G136" i="3"/>
  <c r="H136" i="3"/>
  <c r="I133" i="3"/>
  <c r="I134" i="3"/>
  <c r="I135" i="3"/>
  <c r="I136" i="3"/>
  <c r="J132" i="3"/>
  <c r="J133" i="3"/>
  <c r="J134" i="3"/>
  <c r="J135" i="3"/>
  <c r="J136" i="3"/>
  <c r="K132" i="3"/>
  <c r="K133" i="3"/>
  <c r="K134" i="3"/>
  <c r="K135" i="3"/>
  <c r="K136" i="3"/>
  <c r="L132" i="3"/>
  <c r="L133" i="3"/>
  <c r="L134" i="3"/>
  <c r="L135" i="3"/>
  <c r="L136" i="3"/>
  <c r="M132" i="3"/>
  <c r="M133" i="3"/>
  <c r="M134" i="3"/>
  <c r="M135" i="3"/>
  <c r="M136" i="3"/>
  <c r="N132" i="3"/>
  <c r="N133" i="3"/>
  <c r="N134" i="3"/>
  <c r="N135" i="3"/>
  <c r="N136" i="3"/>
  <c r="O132" i="3"/>
  <c r="O133" i="3"/>
  <c r="O134" i="3"/>
  <c r="O135" i="3"/>
  <c r="O136" i="3"/>
  <c r="P132" i="3"/>
  <c r="P133" i="3"/>
  <c r="P134" i="3"/>
  <c r="P135" i="3"/>
  <c r="P136" i="3"/>
  <c r="J61" i="2"/>
  <c r="K61" i="2"/>
  <c r="L61" i="2"/>
  <c r="M61" i="2"/>
  <c r="N61" i="2"/>
  <c r="I61" i="2"/>
  <c r="N129" i="2"/>
  <c r="K124" i="2"/>
  <c r="L124" i="2"/>
  <c r="M124" i="2"/>
  <c r="N124" i="2"/>
  <c r="J124" i="2"/>
  <c r="J119" i="2"/>
  <c r="K119" i="2"/>
  <c r="L119" i="2"/>
  <c r="M119" i="2"/>
  <c r="N119" i="2"/>
  <c r="I119" i="2"/>
  <c r="I167" i="4"/>
  <c r="I168" i="4"/>
  <c r="H167" i="4"/>
  <c r="H168" i="4"/>
  <c r="G167" i="4"/>
  <c r="G168" i="4"/>
  <c r="F167" i="4"/>
  <c r="F168" i="4"/>
  <c r="E167" i="4"/>
  <c r="E168" i="4"/>
  <c r="D167" i="4"/>
  <c r="D168" i="4"/>
  <c r="M145" i="1"/>
  <c r="L145" i="1"/>
  <c r="K145" i="1"/>
  <c r="J145" i="1"/>
  <c r="M144" i="1"/>
  <c r="L144" i="1"/>
  <c r="K144" i="1"/>
  <c r="J144" i="1"/>
  <c r="M143" i="1"/>
  <c r="L143" i="1"/>
  <c r="K143" i="1"/>
  <c r="J143" i="1"/>
  <c r="M142" i="1"/>
  <c r="L142" i="1"/>
  <c r="K142" i="1"/>
  <c r="J142" i="1"/>
  <c r="M141" i="1"/>
  <c r="L141" i="1"/>
  <c r="K141" i="1"/>
  <c r="J141" i="1"/>
  <c r="M140" i="1"/>
  <c r="L140" i="1"/>
  <c r="K140" i="1"/>
  <c r="J140" i="1"/>
  <c r="F145" i="1"/>
  <c r="E145" i="1"/>
  <c r="D145" i="1"/>
  <c r="C145" i="1"/>
  <c r="F144" i="1"/>
  <c r="E144" i="1"/>
  <c r="D144" i="1"/>
  <c r="C144" i="1"/>
  <c r="F143" i="1"/>
  <c r="E143" i="1"/>
  <c r="D143" i="1"/>
  <c r="C143" i="1"/>
  <c r="F142" i="1"/>
  <c r="E142" i="1"/>
  <c r="D142" i="1"/>
  <c r="C142" i="1"/>
  <c r="F141" i="1"/>
  <c r="E141" i="1"/>
  <c r="D141" i="1"/>
  <c r="C141" i="1"/>
  <c r="F140" i="1"/>
  <c r="E140" i="1"/>
  <c r="D140" i="1"/>
  <c r="C140" i="1"/>
  <c r="J103" i="1"/>
  <c r="K103" i="1"/>
  <c r="L103" i="1"/>
  <c r="M103" i="1"/>
  <c r="I103" i="1"/>
  <c r="N104" i="2"/>
  <c r="N105" i="2"/>
  <c r="M104" i="2"/>
  <c r="M105" i="2"/>
  <c r="N106" i="2"/>
  <c r="I104" i="2"/>
  <c r="I105" i="2"/>
  <c r="J104" i="2"/>
  <c r="J105" i="2"/>
  <c r="J106" i="2"/>
  <c r="K104" i="2"/>
  <c r="K105" i="2"/>
  <c r="K106" i="2"/>
  <c r="L104" i="2"/>
  <c r="L105" i="2"/>
  <c r="L106" i="2"/>
  <c r="M106" i="2"/>
  <c r="C193" i="2"/>
  <c r="J155" i="2"/>
  <c r="K155" i="2"/>
  <c r="L155" i="2"/>
  <c r="N155" i="2"/>
  <c r="I155" i="2"/>
  <c r="H95" i="2"/>
  <c r="D169" i="4"/>
  <c r="D170" i="4"/>
  <c r="I133" i="4"/>
  <c r="I134" i="4"/>
  <c r="I135" i="4"/>
  <c r="I136" i="4"/>
  <c r="D173" i="4"/>
  <c r="D174" i="4"/>
  <c r="D176" i="4"/>
  <c r="D177" i="4"/>
  <c r="E169" i="4"/>
  <c r="E170" i="4"/>
  <c r="E173" i="4"/>
  <c r="E174" i="4"/>
  <c r="E176" i="4"/>
  <c r="E177" i="4"/>
  <c r="F169" i="4"/>
  <c r="F170" i="4"/>
  <c r="F173" i="4"/>
  <c r="F174" i="4"/>
  <c r="F176" i="4"/>
  <c r="F177" i="4"/>
  <c r="G169" i="4"/>
  <c r="G170" i="4"/>
  <c r="G173" i="4"/>
  <c r="G174" i="4"/>
  <c r="G176" i="4"/>
  <c r="G177" i="4"/>
  <c r="H169" i="4"/>
  <c r="H170" i="4"/>
  <c r="H173" i="4"/>
  <c r="H174" i="4"/>
  <c r="H176" i="4"/>
  <c r="H177" i="4"/>
  <c r="I169" i="4"/>
  <c r="I170" i="4"/>
  <c r="I173" i="4"/>
  <c r="I174" i="4"/>
  <c r="I176" i="4"/>
  <c r="I177" i="4"/>
  <c r="K177" i="4"/>
  <c r="C179" i="4"/>
  <c r="C180" i="4"/>
  <c r="O140" i="4"/>
  <c r="O113" i="4"/>
  <c r="O115" i="4"/>
  <c r="O146" i="4"/>
  <c r="O118" i="4"/>
  <c r="O121" i="4"/>
  <c r="G184" i="4"/>
  <c r="C184" i="4"/>
  <c r="G183" i="4"/>
  <c r="G185" i="4"/>
  <c r="C178" i="4"/>
  <c r="C181" i="4"/>
  <c r="I173" i="3"/>
  <c r="I167" i="3"/>
  <c r="I168" i="3"/>
  <c r="I169" i="3"/>
  <c r="I174" i="3"/>
  <c r="I176" i="3"/>
  <c r="C179" i="3"/>
  <c r="D173" i="3"/>
  <c r="D167" i="3"/>
  <c r="D168" i="3"/>
  <c r="D169" i="3"/>
  <c r="D174" i="3"/>
  <c r="D176" i="3"/>
  <c r="D177" i="3"/>
  <c r="E173" i="3"/>
  <c r="E167" i="3"/>
  <c r="E168" i="3"/>
  <c r="E169" i="3"/>
  <c r="E174" i="3"/>
  <c r="E176" i="3"/>
  <c r="E177" i="3"/>
  <c r="F173" i="3"/>
  <c r="F167" i="3"/>
  <c r="F168" i="3"/>
  <c r="F169" i="3"/>
  <c r="F174" i="3"/>
  <c r="F176" i="3"/>
  <c r="F177" i="3"/>
  <c r="G173" i="3"/>
  <c r="G167" i="3"/>
  <c r="G168" i="3"/>
  <c r="G169" i="3"/>
  <c r="G174" i="3"/>
  <c r="G176" i="3"/>
  <c r="G177" i="3"/>
  <c r="H173" i="3"/>
  <c r="H167" i="3"/>
  <c r="H168" i="3"/>
  <c r="H169" i="3"/>
  <c r="H174" i="3"/>
  <c r="H176" i="3"/>
  <c r="H177" i="3"/>
  <c r="I177" i="3"/>
  <c r="K177" i="3"/>
  <c r="C180" i="3"/>
  <c r="O107" i="3"/>
  <c r="O110" i="3"/>
  <c r="O123" i="3"/>
  <c r="H110" i="3"/>
  <c r="H123" i="3"/>
  <c r="G110" i="3"/>
  <c r="G123" i="3"/>
  <c r="F110" i="3"/>
  <c r="F123" i="3"/>
  <c r="E110" i="3"/>
  <c r="E123" i="3"/>
  <c r="D110" i="3"/>
  <c r="D123" i="3"/>
  <c r="D124" i="3"/>
  <c r="D125" i="3"/>
  <c r="E124" i="3"/>
  <c r="E125" i="3"/>
  <c r="F124" i="3"/>
  <c r="F125" i="3"/>
  <c r="G124" i="3"/>
  <c r="G125" i="3"/>
  <c r="H124" i="3"/>
  <c r="H125" i="3"/>
  <c r="O125" i="3"/>
  <c r="G185" i="3"/>
  <c r="G184" i="3"/>
  <c r="G186" i="3"/>
  <c r="C178" i="3"/>
  <c r="C182" i="3"/>
  <c r="I64" i="3"/>
  <c r="J112" i="2"/>
  <c r="N158" i="2"/>
  <c r="N159" i="2"/>
  <c r="N160" i="2"/>
  <c r="I183" i="2"/>
  <c r="M158" i="2"/>
  <c r="M159" i="2"/>
  <c r="M160" i="2"/>
  <c r="H183" i="2"/>
  <c r="L158" i="2"/>
  <c r="L159" i="2"/>
  <c r="L160" i="2"/>
  <c r="G183" i="2"/>
  <c r="K158" i="2"/>
  <c r="K159" i="2"/>
  <c r="K160" i="2"/>
  <c r="F183" i="2"/>
  <c r="J158" i="2"/>
  <c r="J159" i="2"/>
  <c r="J160" i="2"/>
  <c r="E183" i="2"/>
  <c r="I158" i="2"/>
  <c r="I159" i="2"/>
  <c r="I160" i="2"/>
  <c r="D183" i="2"/>
  <c r="I65" i="3"/>
  <c r="D82" i="1"/>
  <c r="I141" i="1"/>
  <c r="I142" i="1"/>
  <c r="I143" i="1"/>
  <c r="I144" i="1"/>
  <c r="I145" i="1"/>
  <c r="K139" i="1"/>
  <c r="L139" i="1"/>
  <c r="M139" i="1"/>
  <c r="L131" i="1"/>
  <c r="K131" i="1"/>
  <c r="O4" i="4"/>
  <c r="D39" i="1"/>
  <c r="D32" i="1"/>
  <c r="D33" i="1"/>
  <c r="D34" i="1"/>
  <c r="D40" i="1"/>
  <c r="D41" i="1"/>
  <c r="H118" i="2"/>
  <c r="M117" i="2"/>
  <c r="M118" i="2"/>
  <c r="N116" i="2"/>
  <c r="I148" i="2"/>
  <c r="J148" i="2"/>
  <c r="K148" i="2"/>
  <c r="L148" i="2"/>
  <c r="M148" i="2"/>
  <c r="N148" i="2"/>
  <c r="I149" i="2"/>
  <c r="J149" i="2"/>
  <c r="K149" i="2"/>
  <c r="L149" i="2"/>
  <c r="M149" i="2"/>
  <c r="N149" i="2"/>
  <c r="N156" i="2"/>
  <c r="I150" i="2"/>
  <c r="J150" i="2"/>
  <c r="K150" i="2"/>
  <c r="L150" i="2"/>
  <c r="M150" i="2"/>
  <c r="N150" i="2"/>
  <c r="N157" i="2"/>
  <c r="I184" i="2"/>
  <c r="H123" i="2"/>
  <c r="I121" i="2"/>
  <c r="I156" i="2"/>
  <c r="H128" i="2"/>
  <c r="I126" i="2"/>
  <c r="I157" i="2"/>
  <c r="E67" i="1"/>
  <c r="G67" i="1"/>
  <c r="L67" i="1"/>
  <c r="D67" i="1"/>
  <c r="M67" i="1"/>
  <c r="D68" i="1"/>
  <c r="D76" i="1"/>
  <c r="D184" i="2"/>
  <c r="J156" i="2"/>
  <c r="I127" i="2"/>
  <c r="I128" i="2"/>
  <c r="J126" i="2"/>
  <c r="J157" i="2"/>
  <c r="E184" i="2"/>
  <c r="K156" i="2"/>
  <c r="J127" i="2"/>
  <c r="J128" i="2"/>
  <c r="K126" i="2"/>
  <c r="K157" i="2"/>
  <c r="F184" i="2"/>
  <c r="L156" i="2"/>
  <c r="K127" i="2"/>
  <c r="K128" i="2"/>
  <c r="L126" i="2"/>
  <c r="L157" i="2"/>
  <c r="G184" i="2"/>
  <c r="M156" i="2"/>
  <c r="L127" i="2"/>
  <c r="L128" i="2"/>
  <c r="M126" i="2"/>
  <c r="M157" i="2"/>
  <c r="H184" i="2"/>
  <c r="K183" i="2"/>
  <c r="N176" i="2"/>
  <c r="D24" i="1"/>
  <c r="D25" i="1"/>
  <c r="J100" i="1"/>
  <c r="K100" i="1"/>
  <c r="L100" i="1"/>
  <c r="M100" i="1"/>
  <c r="I100" i="1"/>
  <c r="I115" i="1"/>
  <c r="I119" i="1"/>
  <c r="D66" i="1"/>
  <c r="D28" i="1"/>
  <c r="C171" i="2"/>
  <c r="C172" i="2"/>
  <c r="G194" i="2"/>
  <c r="M37" i="1"/>
  <c r="M38" i="1"/>
  <c r="M42" i="1"/>
  <c r="M43" i="1"/>
  <c r="M44" i="1"/>
  <c r="I38" i="1"/>
  <c r="I37" i="1"/>
  <c r="I44" i="1"/>
  <c r="K133" i="1"/>
  <c r="L133" i="1"/>
  <c r="M130" i="1"/>
  <c r="C184" i="3"/>
  <c r="C185" i="3"/>
  <c r="M131" i="1"/>
  <c r="M129" i="1"/>
  <c r="M128" i="1"/>
  <c r="J115" i="1"/>
  <c r="J119" i="1"/>
  <c r="K107" i="3"/>
  <c r="K110" i="3"/>
  <c r="J113" i="1"/>
  <c r="K115" i="1"/>
  <c r="K119" i="1"/>
  <c r="L107" i="3"/>
  <c r="L110" i="3"/>
  <c r="K113" i="1"/>
  <c r="L115" i="1"/>
  <c r="L119" i="1"/>
  <c r="M107" i="3"/>
  <c r="M110" i="3"/>
  <c r="L113" i="1"/>
  <c r="M115" i="1"/>
  <c r="M119" i="1"/>
  <c r="N107" i="3"/>
  <c r="N110" i="3"/>
  <c r="M113" i="1"/>
  <c r="J107" i="3"/>
  <c r="J110" i="3"/>
  <c r="I113" i="1"/>
  <c r="J114" i="1"/>
  <c r="K114" i="1"/>
  <c r="L114" i="1"/>
  <c r="M114" i="1"/>
  <c r="I114" i="1"/>
  <c r="I138" i="2"/>
  <c r="J138" i="2"/>
  <c r="K138" i="2"/>
  <c r="L138" i="2"/>
  <c r="M138" i="2"/>
  <c r="L134" i="1"/>
  <c r="K134" i="1"/>
  <c r="M134" i="1"/>
  <c r="C160" i="3"/>
  <c r="F133" i="1"/>
  <c r="P142" i="3"/>
  <c r="P107" i="3"/>
  <c r="P110" i="3"/>
  <c r="P123" i="3"/>
  <c r="P125" i="3"/>
  <c r="P68" i="3"/>
  <c r="O68" i="3"/>
  <c r="P67" i="3"/>
  <c r="O67" i="3"/>
  <c r="O146" i="3"/>
  <c r="D78" i="1"/>
  <c r="H66" i="1"/>
  <c r="O140" i="3"/>
  <c r="O113" i="3"/>
  <c r="O115" i="3"/>
  <c r="O118" i="3"/>
  <c r="O121" i="3"/>
  <c r="E78" i="1"/>
  <c r="G78" i="1"/>
  <c r="K121" i="2"/>
  <c r="L121" i="2"/>
  <c r="M121" i="2"/>
  <c r="N121" i="2"/>
  <c r="J121" i="2"/>
  <c r="J116" i="2"/>
  <c r="K116" i="2"/>
  <c r="L116" i="2"/>
  <c r="I116" i="2"/>
  <c r="J122" i="2"/>
  <c r="J117" i="2"/>
  <c r="J88" i="2"/>
  <c r="J91" i="2"/>
  <c r="J83" i="2"/>
  <c r="J85" i="2"/>
  <c r="J93" i="2"/>
  <c r="K83" i="2"/>
  <c r="K85" i="2"/>
  <c r="K93" i="2"/>
  <c r="L122" i="2"/>
  <c r="L117" i="2"/>
  <c r="L88" i="2"/>
  <c r="L91" i="2"/>
  <c r="L83" i="2"/>
  <c r="L85" i="2"/>
  <c r="L93" i="2"/>
  <c r="M127" i="2"/>
  <c r="M122" i="2"/>
  <c r="M88" i="2"/>
  <c r="M91" i="2"/>
  <c r="L118" i="2"/>
  <c r="L123" i="2"/>
  <c r="M83" i="2"/>
  <c r="M85" i="2"/>
  <c r="M93" i="2"/>
  <c r="N117" i="2"/>
  <c r="N127" i="2"/>
  <c r="N122" i="2"/>
  <c r="N88" i="2"/>
  <c r="N91" i="2"/>
  <c r="M123" i="2"/>
  <c r="N83" i="2"/>
  <c r="N85" i="2"/>
  <c r="N93" i="2"/>
  <c r="I122" i="2"/>
  <c r="I117" i="2"/>
  <c r="I88" i="2"/>
  <c r="I91" i="2"/>
  <c r="I83" i="2"/>
  <c r="I85" i="2"/>
  <c r="I93" i="2"/>
  <c r="J53" i="2"/>
  <c r="K53" i="2"/>
  <c r="L53" i="2"/>
  <c r="M53" i="2"/>
  <c r="N53" i="2"/>
  <c r="I53" i="2"/>
  <c r="J52" i="2"/>
  <c r="K52" i="2"/>
  <c r="L52" i="2"/>
  <c r="M52" i="2"/>
  <c r="N52" i="2"/>
  <c r="I52" i="2"/>
  <c r="N126" i="2"/>
  <c r="J118" i="2"/>
  <c r="K117" i="2"/>
  <c r="K118" i="2"/>
  <c r="K123" i="2"/>
  <c r="I133" i="2"/>
  <c r="J133" i="2"/>
  <c r="K132" i="2"/>
  <c r="K133" i="2"/>
  <c r="L133" i="2"/>
  <c r="M133" i="2"/>
  <c r="M226" i="2"/>
  <c r="N226" i="2"/>
  <c r="L226" i="2"/>
  <c r="K226" i="2"/>
  <c r="J226" i="2"/>
  <c r="M220" i="2"/>
  <c r="N220" i="2"/>
  <c r="L220" i="2"/>
  <c r="K220" i="2"/>
  <c r="J220" i="2"/>
  <c r="L214" i="2"/>
  <c r="K214" i="2"/>
  <c r="J214" i="2"/>
  <c r="L208" i="2"/>
  <c r="K208" i="2"/>
  <c r="J208" i="2"/>
  <c r="G199" i="2"/>
  <c r="M208" i="2"/>
  <c r="N208" i="2"/>
  <c r="N209" i="2"/>
  <c r="N33" i="2"/>
  <c r="M214" i="2"/>
  <c r="N214" i="2"/>
  <c r="N215" i="2"/>
  <c r="N34" i="2"/>
  <c r="N35" i="2"/>
  <c r="N221" i="2"/>
  <c r="N227" i="2"/>
  <c r="N38" i="2"/>
  <c r="I112" i="2"/>
  <c r="N102" i="2"/>
  <c r="N103" i="2"/>
  <c r="M209" i="2"/>
  <c r="M33" i="2"/>
  <c r="M102" i="2"/>
  <c r="M215" i="2"/>
  <c r="M34" i="2"/>
  <c r="M103" i="2"/>
  <c r="I209" i="2"/>
  <c r="I33" i="2"/>
  <c r="I215" i="2"/>
  <c r="I34" i="2"/>
  <c r="I35" i="2"/>
  <c r="I221" i="2"/>
  <c r="I227" i="2"/>
  <c r="I38" i="2"/>
  <c r="I102" i="2"/>
  <c r="I103" i="2"/>
  <c r="J209" i="2"/>
  <c r="J33" i="2"/>
  <c r="J215" i="2"/>
  <c r="J34" i="2"/>
  <c r="J35" i="2"/>
  <c r="J221" i="2"/>
  <c r="J227" i="2"/>
  <c r="J38" i="2"/>
  <c r="J102" i="2"/>
  <c r="J103" i="2"/>
  <c r="K209" i="2"/>
  <c r="K33" i="2"/>
  <c r="K215" i="2"/>
  <c r="K34" i="2"/>
  <c r="K35" i="2"/>
  <c r="K221" i="2"/>
  <c r="K227" i="2"/>
  <c r="K38" i="2"/>
  <c r="K102" i="2"/>
  <c r="K103" i="2"/>
  <c r="L209" i="2"/>
  <c r="L33" i="2"/>
  <c r="L102" i="2"/>
  <c r="M35" i="2"/>
  <c r="M221" i="2"/>
  <c r="M227" i="2"/>
  <c r="M38" i="2"/>
  <c r="L215" i="2"/>
  <c r="L34" i="2"/>
  <c r="L35" i="2"/>
  <c r="L221" i="2"/>
  <c r="L227" i="2"/>
  <c r="L38" i="2"/>
  <c r="L103" i="2"/>
  <c r="G197" i="2"/>
  <c r="O68" i="4"/>
  <c r="P68" i="4"/>
  <c r="P67" i="4"/>
  <c r="O67" i="4"/>
  <c r="P64" i="4"/>
  <c r="O64" i="4"/>
  <c r="N63" i="3"/>
  <c r="M63" i="3"/>
  <c r="L63" i="3"/>
  <c r="K63" i="3"/>
  <c r="J63" i="3"/>
  <c r="I63" i="3"/>
  <c r="D121" i="3"/>
  <c r="O63" i="3"/>
  <c r="O64" i="3"/>
  <c r="O65" i="3"/>
  <c r="I67" i="3"/>
  <c r="F147" i="3"/>
  <c r="G145" i="3"/>
  <c r="G147" i="3"/>
  <c r="H145" i="3"/>
  <c r="H147" i="3"/>
  <c r="I145" i="3"/>
  <c r="I147" i="3"/>
  <c r="I148" i="3"/>
  <c r="I70" i="3"/>
  <c r="G188" i="3"/>
  <c r="O65" i="4"/>
  <c r="C183" i="4"/>
  <c r="C164" i="4"/>
  <c r="D165" i="4"/>
  <c r="C182" i="4"/>
  <c r="C185" i="4"/>
  <c r="C160" i="4"/>
  <c r="G187" i="4"/>
  <c r="N64" i="3"/>
  <c r="N65" i="3"/>
  <c r="N67" i="3"/>
  <c r="J145" i="3"/>
  <c r="J147" i="3"/>
  <c r="K145" i="3"/>
  <c r="K147" i="3"/>
  <c r="L145" i="3"/>
  <c r="L147" i="3"/>
  <c r="M145" i="3"/>
  <c r="M147" i="3"/>
  <c r="N145" i="3"/>
  <c r="N147" i="3"/>
  <c r="N148" i="3"/>
  <c r="N70" i="3"/>
  <c r="M64" i="3"/>
  <c r="I170" i="3"/>
  <c r="D170" i="3"/>
  <c r="C164" i="3"/>
  <c r="J64" i="3"/>
  <c r="J65" i="3"/>
  <c r="J67" i="3"/>
  <c r="J148" i="3"/>
  <c r="J70" i="3"/>
  <c r="E170" i="3"/>
  <c r="K64" i="3"/>
  <c r="K65" i="3"/>
  <c r="K67" i="3"/>
  <c r="K148" i="3"/>
  <c r="K70" i="3"/>
  <c r="F170" i="3"/>
  <c r="L64" i="3"/>
  <c r="L65" i="3"/>
  <c r="L67" i="3"/>
  <c r="L148" i="3"/>
  <c r="L70" i="3"/>
  <c r="G170" i="3"/>
  <c r="M65" i="3"/>
  <c r="M67" i="3"/>
  <c r="M148" i="3"/>
  <c r="M70" i="3"/>
  <c r="H170" i="3"/>
  <c r="I171" i="3"/>
  <c r="N164" i="3"/>
  <c r="I171" i="4"/>
  <c r="N164" i="4"/>
  <c r="P63" i="3"/>
  <c r="P64" i="3"/>
  <c r="I118" i="2"/>
  <c r="I123" i="2"/>
  <c r="J151" i="2"/>
  <c r="D171" i="4"/>
  <c r="E171" i="4"/>
  <c r="F171" i="4"/>
  <c r="G171" i="4"/>
  <c r="H171" i="4"/>
  <c r="K171" i="4"/>
  <c r="D171" i="3"/>
  <c r="E171" i="3"/>
  <c r="F171" i="3"/>
  <c r="G171" i="3"/>
  <c r="H171" i="3"/>
  <c r="K171" i="3"/>
  <c r="H147" i="4"/>
  <c r="I146" i="4"/>
  <c r="I63" i="4"/>
  <c r="J63" i="4"/>
  <c r="K63" i="4"/>
  <c r="L63" i="4"/>
  <c r="M63" i="4"/>
  <c r="N63" i="4"/>
  <c r="O63" i="4"/>
  <c r="P63" i="4"/>
  <c r="I82" i="4"/>
  <c r="I132" i="4"/>
  <c r="E4" i="4"/>
  <c r="F4" i="4"/>
  <c r="G4" i="4"/>
  <c r="H4" i="4"/>
  <c r="I4" i="4"/>
  <c r="J4" i="4"/>
  <c r="K4" i="4"/>
  <c r="K5" i="4"/>
  <c r="L4" i="4"/>
  <c r="L5" i="4"/>
  <c r="M4" i="4"/>
  <c r="M5" i="4"/>
  <c r="N4" i="4"/>
  <c r="N5" i="4"/>
  <c r="N64" i="4"/>
  <c r="M64" i="4"/>
  <c r="I64" i="4"/>
  <c r="P132" i="4"/>
  <c r="L64" i="4"/>
  <c r="K64" i="4"/>
  <c r="J64" i="4"/>
  <c r="I5" i="4"/>
  <c r="J5" i="4"/>
  <c r="H132" i="4"/>
  <c r="H133" i="4"/>
  <c r="H135" i="4"/>
  <c r="I67" i="4"/>
  <c r="I65" i="4"/>
  <c r="J67" i="4"/>
  <c r="J65" i="4"/>
  <c r="K67" i="4"/>
  <c r="K65" i="4"/>
  <c r="L67" i="4"/>
  <c r="L65" i="4"/>
  <c r="M67" i="4"/>
  <c r="M65" i="4"/>
  <c r="N67" i="4"/>
  <c r="N65" i="4"/>
  <c r="P65" i="4"/>
  <c r="H135" i="3"/>
  <c r="D178" i="3"/>
  <c r="E178" i="3"/>
  <c r="C159" i="3"/>
  <c r="G183" i="3"/>
  <c r="F178" i="3"/>
  <c r="G178" i="3"/>
  <c r="H178" i="3"/>
  <c r="I178" i="3"/>
  <c r="J174" i="3"/>
  <c r="J176" i="3"/>
  <c r="J178" i="3"/>
  <c r="L183" i="3"/>
  <c r="D147" i="3"/>
  <c r="E145" i="3"/>
  <c r="E147" i="3"/>
  <c r="F145" i="3"/>
  <c r="I56" i="3"/>
  <c r="I146" i="3"/>
  <c r="I50" i="3"/>
  <c r="I45" i="3"/>
  <c r="I47" i="3"/>
  <c r="I48" i="3"/>
  <c r="I68" i="3"/>
  <c r="I49" i="3"/>
  <c r="I141" i="3"/>
  <c r="I46" i="3"/>
  <c r="I51" i="3"/>
  <c r="H132" i="3"/>
  <c r="O52" i="3"/>
  <c r="O53" i="3"/>
  <c r="O54" i="3"/>
  <c r="I55" i="3"/>
  <c r="I140" i="3"/>
  <c r="O57" i="3"/>
  <c r="O119" i="3"/>
  <c r="O58" i="3"/>
  <c r="O120" i="3"/>
  <c r="J56" i="3"/>
  <c r="J146" i="3"/>
  <c r="K56" i="3"/>
  <c r="K146" i="3"/>
  <c r="L56" i="3"/>
  <c r="L146" i="3"/>
  <c r="M56" i="3"/>
  <c r="M146" i="3"/>
  <c r="N56" i="3"/>
  <c r="N146" i="3"/>
  <c r="N50" i="3"/>
  <c r="J45" i="3"/>
  <c r="K45" i="3"/>
  <c r="L45" i="3"/>
  <c r="M45" i="3"/>
  <c r="N45" i="3"/>
  <c r="N47" i="3"/>
  <c r="N48" i="3"/>
  <c r="N68" i="3"/>
  <c r="I142" i="3"/>
  <c r="J139" i="3"/>
  <c r="J55" i="3"/>
  <c r="J140" i="3"/>
  <c r="J49" i="3"/>
  <c r="J141" i="3"/>
  <c r="J142" i="3"/>
  <c r="K139" i="3"/>
  <c r="K55" i="3"/>
  <c r="K140" i="3"/>
  <c r="K49" i="3"/>
  <c r="K141" i="3"/>
  <c r="K142" i="3"/>
  <c r="L139" i="3"/>
  <c r="L55" i="3"/>
  <c r="L140" i="3"/>
  <c r="L49" i="3"/>
  <c r="L141" i="3"/>
  <c r="L142" i="3"/>
  <c r="M139" i="3"/>
  <c r="M55" i="3"/>
  <c r="M140" i="3"/>
  <c r="M49" i="3"/>
  <c r="M141" i="3"/>
  <c r="M142" i="3"/>
  <c r="N139" i="3"/>
  <c r="N49" i="3"/>
  <c r="N141" i="3"/>
  <c r="N46" i="3"/>
  <c r="N55" i="3"/>
  <c r="N140" i="3"/>
  <c r="N113" i="3"/>
  <c r="I172" i="3"/>
  <c r="N52" i="3"/>
  <c r="N53" i="3"/>
  <c r="N54" i="3"/>
  <c r="M52" i="3"/>
  <c r="M46" i="3"/>
  <c r="M53" i="3"/>
  <c r="M54" i="3"/>
  <c r="I53" i="3"/>
  <c r="I54" i="3"/>
  <c r="I113" i="3"/>
  <c r="D172" i="3"/>
  <c r="J50" i="3"/>
  <c r="J47" i="3"/>
  <c r="J48" i="3"/>
  <c r="J68" i="3"/>
  <c r="J46" i="3"/>
  <c r="J113" i="3"/>
  <c r="E172" i="3"/>
  <c r="J52" i="3"/>
  <c r="J53" i="3"/>
  <c r="J54" i="3"/>
  <c r="K50" i="3"/>
  <c r="K47" i="3"/>
  <c r="K48" i="3"/>
  <c r="K68" i="3"/>
  <c r="K46" i="3"/>
  <c r="K113" i="3"/>
  <c r="F172" i="3"/>
  <c r="K52" i="3"/>
  <c r="K53" i="3"/>
  <c r="K54" i="3"/>
  <c r="L50" i="3"/>
  <c r="L47" i="3"/>
  <c r="L48" i="3"/>
  <c r="L68" i="3"/>
  <c r="L46" i="3"/>
  <c r="L113" i="3"/>
  <c r="G172" i="3"/>
  <c r="L52" i="3"/>
  <c r="L53" i="3"/>
  <c r="L54" i="3"/>
  <c r="M50" i="3"/>
  <c r="M47" i="3"/>
  <c r="M48" i="3"/>
  <c r="M68" i="3"/>
  <c r="M113" i="3"/>
  <c r="H172" i="3"/>
  <c r="D142" i="3"/>
  <c r="E139" i="3"/>
  <c r="E142" i="3"/>
  <c r="F139" i="3"/>
  <c r="F142" i="3"/>
  <c r="G139" i="3"/>
  <c r="G142" i="3"/>
  <c r="H139" i="3"/>
  <c r="H142" i="3"/>
  <c r="I139" i="3"/>
  <c r="D146" i="3"/>
  <c r="E146" i="3"/>
  <c r="G146" i="3"/>
  <c r="H146" i="3"/>
  <c r="E4" i="3"/>
  <c r="F4" i="3"/>
  <c r="G4" i="3"/>
  <c r="H4" i="3"/>
  <c r="I4" i="3"/>
  <c r="J4" i="3"/>
  <c r="K4" i="3"/>
  <c r="L4" i="3"/>
  <c r="M4" i="3"/>
  <c r="N4" i="3"/>
  <c r="N5" i="3"/>
  <c r="M5" i="3"/>
  <c r="E2" i="3"/>
  <c r="F2" i="3"/>
  <c r="G2" i="3"/>
  <c r="H2" i="3"/>
  <c r="I2" i="3"/>
  <c r="D163" i="3"/>
  <c r="E163" i="3"/>
  <c r="F163" i="3"/>
  <c r="G163" i="3"/>
  <c r="H163" i="3"/>
  <c r="H164" i="3"/>
  <c r="I163" i="3"/>
  <c r="I164" i="3"/>
  <c r="I165" i="3"/>
  <c r="G164" i="3"/>
  <c r="H165" i="3"/>
  <c r="K5" i="3"/>
  <c r="F164" i="3"/>
  <c r="G165" i="3"/>
  <c r="J5" i="3"/>
  <c r="E164" i="3"/>
  <c r="F165" i="3"/>
  <c r="I5" i="3"/>
  <c r="D164" i="3"/>
  <c r="E165" i="3"/>
  <c r="E113" i="3"/>
  <c r="F113" i="3"/>
  <c r="G113" i="3"/>
  <c r="H113" i="3"/>
  <c r="D113" i="3"/>
  <c r="E108" i="3"/>
  <c r="F108" i="3"/>
  <c r="G108" i="3"/>
  <c r="H108" i="3"/>
  <c r="D108" i="3"/>
  <c r="C159" i="4"/>
  <c r="G147" i="4"/>
  <c r="F147" i="4"/>
  <c r="E147" i="4"/>
  <c r="D147" i="4"/>
  <c r="I145" i="4"/>
  <c r="H142" i="4"/>
  <c r="G142" i="4"/>
  <c r="F142" i="4"/>
  <c r="E142" i="4"/>
  <c r="D142" i="4"/>
  <c r="I139" i="4"/>
  <c r="G133" i="4"/>
  <c r="F133" i="4"/>
  <c r="E133" i="4"/>
  <c r="D133" i="4"/>
  <c r="G132" i="4"/>
  <c r="G135" i="4"/>
  <c r="F132" i="4"/>
  <c r="F135" i="4"/>
  <c r="E132" i="4"/>
  <c r="E135" i="4"/>
  <c r="D132" i="4"/>
  <c r="D135" i="4"/>
  <c r="D136" i="4"/>
  <c r="H121" i="4"/>
  <c r="G121" i="4"/>
  <c r="F121" i="4"/>
  <c r="E121" i="4"/>
  <c r="D121" i="4"/>
  <c r="H115" i="4"/>
  <c r="G115" i="4"/>
  <c r="F115" i="4"/>
  <c r="E115" i="4"/>
  <c r="D115" i="4"/>
  <c r="H108" i="4"/>
  <c r="G108" i="4"/>
  <c r="F108" i="4"/>
  <c r="E108" i="4"/>
  <c r="D108" i="4"/>
  <c r="D98" i="4"/>
  <c r="H92" i="4"/>
  <c r="H94" i="4"/>
  <c r="G92" i="4"/>
  <c r="G94" i="4"/>
  <c r="F92" i="4"/>
  <c r="F94" i="4"/>
  <c r="E92" i="4"/>
  <c r="E94" i="4"/>
  <c r="D92" i="4"/>
  <c r="D94" i="4"/>
  <c r="D99" i="4"/>
  <c r="H84" i="4"/>
  <c r="H87" i="4"/>
  <c r="G84" i="4"/>
  <c r="G87" i="4"/>
  <c r="F84" i="4"/>
  <c r="F87" i="4"/>
  <c r="E84" i="4"/>
  <c r="E87" i="4"/>
  <c r="D84" i="4"/>
  <c r="D87" i="4"/>
  <c r="H71" i="4"/>
  <c r="G71" i="4"/>
  <c r="F71" i="4"/>
  <c r="E71" i="4"/>
  <c r="D71" i="4"/>
  <c r="H65" i="4"/>
  <c r="H72" i="4"/>
  <c r="H75" i="4"/>
  <c r="H107" i="4"/>
  <c r="G65" i="4"/>
  <c r="G72" i="4"/>
  <c r="G75" i="4"/>
  <c r="G107" i="4"/>
  <c r="F65" i="4"/>
  <c r="F72" i="4"/>
  <c r="F75" i="4"/>
  <c r="F107" i="4"/>
  <c r="E65" i="4"/>
  <c r="E72" i="4"/>
  <c r="E75" i="4"/>
  <c r="E107" i="4"/>
  <c r="D65" i="4"/>
  <c r="D72" i="4"/>
  <c r="D75" i="4"/>
  <c r="D107" i="4"/>
  <c r="P120" i="4"/>
  <c r="O120" i="4"/>
  <c r="N120" i="4"/>
  <c r="M120" i="4"/>
  <c r="L120" i="4"/>
  <c r="K120" i="4"/>
  <c r="J120" i="4"/>
  <c r="I120" i="4"/>
  <c r="P119" i="4"/>
  <c r="N119" i="4"/>
  <c r="M119" i="4"/>
  <c r="L119" i="4"/>
  <c r="K119" i="4"/>
  <c r="J119" i="4"/>
  <c r="N146" i="4"/>
  <c r="N118" i="4"/>
  <c r="N121" i="4"/>
  <c r="M146" i="4"/>
  <c r="M118" i="4"/>
  <c r="M121" i="4"/>
  <c r="L146" i="4"/>
  <c r="L118" i="4"/>
  <c r="L121" i="4"/>
  <c r="K146" i="4"/>
  <c r="K118" i="4"/>
  <c r="K121" i="4"/>
  <c r="J146" i="4"/>
  <c r="J118" i="4"/>
  <c r="J121" i="4"/>
  <c r="N140" i="4"/>
  <c r="N113" i="4"/>
  <c r="M140" i="4"/>
  <c r="M113" i="4"/>
  <c r="L140" i="4"/>
  <c r="L113" i="4"/>
  <c r="K140" i="4"/>
  <c r="K113" i="4"/>
  <c r="J140" i="4"/>
  <c r="J113" i="4"/>
  <c r="I140" i="4"/>
  <c r="N68" i="4"/>
  <c r="M68" i="4"/>
  <c r="L68" i="4"/>
  <c r="K68" i="4"/>
  <c r="J68" i="4"/>
  <c r="I68" i="4"/>
  <c r="E6" i="4"/>
  <c r="F6" i="4"/>
  <c r="G6" i="4"/>
  <c r="H6" i="4"/>
  <c r="I6" i="4"/>
  <c r="J6" i="4"/>
  <c r="K6" i="4"/>
  <c r="L6" i="4"/>
  <c r="M6" i="4"/>
  <c r="N6" i="4"/>
  <c r="O2" i="4"/>
  <c r="E2" i="4"/>
  <c r="F2" i="4"/>
  <c r="G2" i="4"/>
  <c r="H2" i="4"/>
  <c r="I2" i="4"/>
  <c r="A2" i="4"/>
  <c r="G132" i="3"/>
  <c r="G135" i="3"/>
  <c r="F132" i="3"/>
  <c r="F135" i="3"/>
  <c r="E132" i="3"/>
  <c r="E135" i="3"/>
  <c r="D132" i="3"/>
  <c r="D135" i="3"/>
  <c r="D136" i="3"/>
  <c r="H121" i="3"/>
  <c r="G121" i="3"/>
  <c r="F121" i="3"/>
  <c r="E121" i="3"/>
  <c r="H115" i="3"/>
  <c r="G115" i="3"/>
  <c r="F115" i="3"/>
  <c r="E115" i="3"/>
  <c r="D115" i="3"/>
  <c r="H98" i="3"/>
  <c r="G98" i="3"/>
  <c r="F98" i="3"/>
  <c r="E98" i="3"/>
  <c r="D98" i="3"/>
  <c r="H92" i="3"/>
  <c r="H94" i="3"/>
  <c r="H99" i="3"/>
  <c r="G92" i="3"/>
  <c r="G94" i="3"/>
  <c r="G99" i="3"/>
  <c r="F92" i="3"/>
  <c r="F94" i="3"/>
  <c r="F99" i="3"/>
  <c r="E92" i="3"/>
  <c r="E94" i="3"/>
  <c r="E99" i="3"/>
  <c r="D92" i="3"/>
  <c r="D94" i="3"/>
  <c r="D99" i="3"/>
  <c r="H71" i="3"/>
  <c r="G71" i="3"/>
  <c r="F71" i="3"/>
  <c r="E71" i="3"/>
  <c r="D71" i="3"/>
  <c r="H65" i="3"/>
  <c r="H72" i="3"/>
  <c r="H75" i="3"/>
  <c r="H107" i="3"/>
  <c r="G65" i="3"/>
  <c r="G72" i="3"/>
  <c r="G75" i="3"/>
  <c r="G107" i="3"/>
  <c r="F65" i="3"/>
  <c r="F72" i="3"/>
  <c r="F75" i="3"/>
  <c r="F107" i="3"/>
  <c r="E65" i="3"/>
  <c r="E72" i="3"/>
  <c r="E75" i="3"/>
  <c r="E107" i="3"/>
  <c r="D65" i="3"/>
  <c r="D72" i="3"/>
  <c r="D75" i="3"/>
  <c r="D107" i="3"/>
  <c r="P58" i="3"/>
  <c r="P120" i="3"/>
  <c r="N58" i="3"/>
  <c r="N120" i="3"/>
  <c r="M58" i="3"/>
  <c r="M120" i="3"/>
  <c r="L58" i="3"/>
  <c r="L120" i="3"/>
  <c r="K58" i="3"/>
  <c r="K120" i="3"/>
  <c r="J58" i="3"/>
  <c r="J120" i="3"/>
  <c r="I58" i="3"/>
  <c r="I120" i="3"/>
  <c r="P57" i="3"/>
  <c r="P119" i="3"/>
  <c r="N57" i="3"/>
  <c r="N119" i="3"/>
  <c r="M57" i="3"/>
  <c r="M119" i="3"/>
  <c r="L57" i="3"/>
  <c r="L119" i="3"/>
  <c r="K57" i="3"/>
  <c r="K119" i="3"/>
  <c r="J57" i="3"/>
  <c r="J119" i="3"/>
  <c r="I57" i="3"/>
  <c r="P56" i="3"/>
  <c r="O56" i="3"/>
  <c r="N118" i="3"/>
  <c r="N121" i="3"/>
  <c r="M118" i="3"/>
  <c r="M121" i="3"/>
  <c r="L118" i="3"/>
  <c r="L121" i="3"/>
  <c r="K118" i="3"/>
  <c r="K121" i="3"/>
  <c r="J118" i="3"/>
  <c r="J121" i="3"/>
  <c r="P55" i="3"/>
  <c r="O55" i="3"/>
  <c r="P54" i="3"/>
  <c r="P53" i="3"/>
  <c r="P52" i="3"/>
  <c r="I52" i="3"/>
  <c r="P51" i="3"/>
  <c r="O51" i="3"/>
  <c r="N51" i="3"/>
  <c r="M51" i="3"/>
  <c r="L51" i="3"/>
  <c r="K51" i="3"/>
  <c r="J51" i="3"/>
  <c r="P50" i="3"/>
  <c r="O50" i="3"/>
  <c r="P49" i="3"/>
  <c r="O49" i="3"/>
  <c r="P48" i="3"/>
  <c r="O48" i="3"/>
  <c r="P47" i="3"/>
  <c r="O47" i="3"/>
  <c r="P46" i="3"/>
  <c r="O46" i="3"/>
  <c r="P45" i="3"/>
  <c r="O45" i="3"/>
  <c r="E6" i="3"/>
  <c r="F6" i="3"/>
  <c r="G6" i="3"/>
  <c r="H6" i="3"/>
  <c r="I6" i="3"/>
  <c r="J6" i="3"/>
  <c r="K6" i="3"/>
  <c r="L6" i="3"/>
  <c r="M6" i="3"/>
  <c r="N6" i="3"/>
  <c r="O4" i="3"/>
  <c r="O2" i="3"/>
  <c r="A2" i="3"/>
  <c r="C176" i="2"/>
  <c r="N152" i="2"/>
  <c r="M152" i="2"/>
  <c r="L152" i="2"/>
  <c r="K152" i="2"/>
  <c r="J152" i="2"/>
  <c r="I152" i="2"/>
  <c r="N151" i="2"/>
  <c r="M151" i="2"/>
  <c r="L151" i="2"/>
  <c r="K151" i="2"/>
  <c r="I151" i="2"/>
  <c r="N90" i="2"/>
  <c r="M90" i="2"/>
  <c r="L90" i="2"/>
  <c r="K90" i="2"/>
  <c r="J90" i="2"/>
  <c r="I90" i="2"/>
  <c r="N89" i="2"/>
  <c r="M89" i="2"/>
  <c r="L89" i="2"/>
  <c r="K89" i="2"/>
  <c r="J89" i="2"/>
  <c r="I89" i="2"/>
  <c r="G14" i="2"/>
  <c r="G13" i="2"/>
  <c r="G12" i="2"/>
  <c r="I2" i="2"/>
  <c r="D175" i="2"/>
  <c r="B141" i="1"/>
  <c r="B142" i="1"/>
  <c r="B143" i="1"/>
  <c r="B144" i="1"/>
  <c r="B145" i="1"/>
  <c r="D139" i="1"/>
  <c r="E139" i="1"/>
  <c r="F139" i="1"/>
  <c r="E130" i="1"/>
  <c r="E128" i="1"/>
  <c r="M99" i="1"/>
  <c r="L99" i="1"/>
  <c r="K99" i="1"/>
  <c r="J99" i="1"/>
  <c r="I99" i="1"/>
  <c r="M98" i="1"/>
  <c r="L98" i="1"/>
  <c r="K98" i="1"/>
  <c r="J98" i="1"/>
  <c r="I98" i="1"/>
  <c r="D75" i="1"/>
  <c r="E71" i="1"/>
  <c r="G71" i="1"/>
  <c r="D71" i="1"/>
  <c r="M64" i="1"/>
  <c r="E64" i="1"/>
  <c r="D64" i="1"/>
  <c r="E62" i="1"/>
  <c r="F62" i="1"/>
  <c r="G62" i="1"/>
  <c r="H62" i="1"/>
  <c r="I62" i="1"/>
  <c r="J62" i="1"/>
  <c r="K62" i="1"/>
  <c r="L62" i="1"/>
  <c r="M62" i="1"/>
  <c r="E53" i="1"/>
  <c r="D36" i="1"/>
  <c r="J6" i="1"/>
  <c r="K6" i="1"/>
  <c r="L6" i="1"/>
  <c r="M6" i="1"/>
  <c r="A1" i="1"/>
  <c r="J123" i="2"/>
  <c r="N123" i="2"/>
  <c r="M128" i="2"/>
  <c r="N128" i="2"/>
  <c r="D176" i="2"/>
  <c r="E175" i="2"/>
  <c r="J2" i="3"/>
  <c r="E5" i="3"/>
  <c r="P4" i="3"/>
  <c r="P140" i="3"/>
  <c r="P113" i="3"/>
  <c r="P115" i="3"/>
  <c r="J115" i="3"/>
  <c r="K115" i="3"/>
  <c r="L115" i="3"/>
  <c r="M115" i="3"/>
  <c r="N115" i="3"/>
  <c r="P146" i="3"/>
  <c r="P118" i="3"/>
  <c r="P121" i="3"/>
  <c r="I118" i="3"/>
  <c r="I119" i="3"/>
  <c r="I96" i="3"/>
  <c r="O96" i="3"/>
  <c r="D84" i="3"/>
  <c r="D87" i="3"/>
  <c r="D3" i="3"/>
  <c r="D163" i="4"/>
  <c r="J2" i="4"/>
  <c r="K2" i="4"/>
  <c r="L2" i="4"/>
  <c r="M2" i="4"/>
  <c r="N2" i="4"/>
  <c r="E5" i="4"/>
  <c r="P4" i="4"/>
  <c r="P140" i="4"/>
  <c r="P113" i="4"/>
  <c r="P115" i="4"/>
  <c r="I113" i="4"/>
  <c r="E172" i="4"/>
  <c r="J115" i="4"/>
  <c r="F172" i="4"/>
  <c r="K115" i="4"/>
  <c r="G172" i="4"/>
  <c r="L115" i="4"/>
  <c r="H172" i="4"/>
  <c r="M115" i="4"/>
  <c r="I172" i="4"/>
  <c r="N115" i="4"/>
  <c r="P146" i="4"/>
  <c r="P118" i="4"/>
  <c r="P121" i="4"/>
  <c r="I118" i="4"/>
  <c r="I119" i="4"/>
  <c r="I96" i="4"/>
  <c r="O119" i="4"/>
  <c r="O96" i="4"/>
  <c r="D3" i="4"/>
  <c r="E136" i="4"/>
  <c r="F136" i="4"/>
  <c r="G136" i="4"/>
  <c r="H136" i="4"/>
  <c r="I147" i="4"/>
  <c r="G182" i="4"/>
  <c r="H182" i="4"/>
  <c r="P145" i="4"/>
  <c r="P147" i="4"/>
  <c r="I148" i="4"/>
  <c r="J145" i="4"/>
  <c r="J147" i="4"/>
  <c r="E98" i="4"/>
  <c r="E99" i="4"/>
  <c r="E3" i="4"/>
  <c r="E81" i="1"/>
  <c r="P96" i="4"/>
  <c r="J96" i="4"/>
  <c r="I121" i="4"/>
  <c r="D172" i="4"/>
  <c r="I115" i="4"/>
  <c r="P2" i="4"/>
  <c r="F5" i="4"/>
  <c r="D164" i="4"/>
  <c r="E163" i="4"/>
  <c r="E84" i="3"/>
  <c r="E87" i="3"/>
  <c r="E3" i="3"/>
  <c r="D81" i="1"/>
  <c r="P96" i="3"/>
  <c r="J96" i="3"/>
  <c r="I121" i="3"/>
  <c r="I115" i="3"/>
  <c r="P2" i="3"/>
  <c r="F5" i="3"/>
  <c r="K2" i="3"/>
  <c r="J2" i="2"/>
  <c r="I91" i="1"/>
  <c r="E176" i="2"/>
  <c r="F175" i="2"/>
  <c r="D128" i="1"/>
  <c r="F176" i="2"/>
  <c r="G175" i="2"/>
  <c r="L2" i="3"/>
  <c r="K2" i="2"/>
  <c r="J91" i="1"/>
  <c r="G5" i="3"/>
  <c r="P65" i="3"/>
  <c r="K96" i="3"/>
  <c r="F84" i="3"/>
  <c r="F87" i="3"/>
  <c r="F3" i="3"/>
  <c r="E164" i="4"/>
  <c r="F163" i="4"/>
  <c r="E165" i="4"/>
  <c r="G5" i="4"/>
  <c r="K96" i="4"/>
  <c r="G81" i="1"/>
  <c r="F98" i="4"/>
  <c r="F99" i="4"/>
  <c r="F3" i="4"/>
  <c r="J148" i="4"/>
  <c r="K145" i="4"/>
  <c r="K147" i="4"/>
  <c r="H183" i="4"/>
  <c r="K148" i="4"/>
  <c r="L145" i="4"/>
  <c r="L147" i="4"/>
  <c r="G98" i="4"/>
  <c r="G99" i="4"/>
  <c r="G3" i="4"/>
  <c r="H81" i="1"/>
  <c r="L96" i="4"/>
  <c r="H5" i="4"/>
  <c r="F164" i="4"/>
  <c r="G163" i="4"/>
  <c r="F165" i="4"/>
  <c r="G84" i="3"/>
  <c r="G87" i="3"/>
  <c r="G3" i="3"/>
  <c r="L96" i="3"/>
  <c r="I62" i="2"/>
  <c r="H5" i="3"/>
  <c r="M2" i="3"/>
  <c r="L2" i="2"/>
  <c r="K91" i="1"/>
  <c r="G176" i="2"/>
  <c r="H175" i="2"/>
  <c r="I81" i="1"/>
  <c r="H176" i="2"/>
  <c r="I175" i="2"/>
  <c r="I176" i="2"/>
  <c r="J176" i="2"/>
  <c r="N2" i="3"/>
  <c r="N2" i="2"/>
  <c r="M91" i="1"/>
  <c r="M2" i="2"/>
  <c r="L91" i="1"/>
  <c r="M96" i="3"/>
  <c r="I124" i="3"/>
  <c r="H84" i="3"/>
  <c r="H87" i="3"/>
  <c r="H3" i="3"/>
  <c r="G164" i="4"/>
  <c r="H163" i="4"/>
  <c r="G165" i="4"/>
  <c r="M96" i="4"/>
  <c r="H3" i="4"/>
  <c r="L148" i="4"/>
  <c r="M145" i="4"/>
  <c r="M147" i="4"/>
  <c r="M148" i="4"/>
  <c r="N145" i="4"/>
  <c r="N147" i="4"/>
  <c r="N96" i="4"/>
  <c r="H164" i="4"/>
  <c r="I163" i="4"/>
  <c r="I164" i="4"/>
  <c r="J164" i="4"/>
  <c r="H165" i="4"/>
  <c r="J165" i="4"/>
  <c r="N96" i="3"/>
  <c r="J62" i="2"/>
  <c r="K62" i="2"/>
  <c r="D77" i="1"/>
  <c r="J164" i="3"/>
  <c r="J165" i="3"/>
  <c r="M133" i="1"/>
  <c r="D79" i="1"/>
  <c r="I165" i="4"/>
  <c r="E77" i="1"/>
  <c r="E79" i="1"/>
  <c r="N148" i="4"/>
  <c r="D70" i="1"/>
  <c r="M62" i="2"/>
  <c r="N118" i="2"/>
  <c r="N133" i="2"/>
  <c r="N62" i="2"/>
  <c r="I107" i="3"/>
  <c r="I110" i="3"/>
  <c r="I123" i="3"/>
  <c r="I125" i="3"/>
  <c r="J124" i="3"/>
  <c r="I3" i="3"/>
  <c r="K88" i="2"/>
  <c r="K91" i="2"/>
  <c r="J123" i="3"/>
  <c r="J125" i="3"/>
  <c r="D83" i="1"/>
  <c r="D69" i="1"/>
  <c r="D86" i="1"/>
  <c r="K124" i="3"/>
  <c r="J3" i="3"/>
  <c r="K123" i="3"/>
  <c r="K125" i="3"/>
  <c r="L124" i="3"/>
  <c r="K3" i="3"/>
  <c r="N138" i="2"/>
  <c r="L123" i="3"/>
  <c r="L125" i="3"/>
  <c r="M124" i="3"/>
  <c r="L3" i="3"/>
  <c r="N142" i="3"/>
  <c r="M123" i="3"/>
  <c r="M125" i="3"/>
  <c r="N124" i="3"/>
  <c r="M3" i="3"/>
  <c r="N123" i="3"/>
  <c r="N125" i="3"/>
  <c r="N3" i="3"/>
  <c r="P142" i="4"/>
  <c r="I142" i="4"/>
  <c r="J139" i="4"/>
  <c r="D178" i="4"/>
  <c r="E178" i="4"/>
  <c r="P123" i="4"/>
  <c r="P124" i="4"/>
  <c r="P125" i="4"/>
  <c r="D43" i="1"/>
  <c r="D44" i="1"/>
  <c r="I3" i="4"/>
  <c r="J3" i="4"/>
  <c r="F178" i="4"/>
  <c r="E83" i="1"/>
  <c r="E69" i="1"/>
  <c r="E86" i="1"/>
  <c r="H184" i="4"/>
  <c r="H185" i="4"/>
  <c r="D53" i="1"/>
  <c r="K3" i="4"/>
  <c r="L83" i="1"/>
  <c r="L69" i="1"/>
  <c r="G178" i="4"/>
  <c r="L3" i="4"/>
  <c r="H3" i="2"/>
  <c r="J174" i="4"/>
  <c r="J176" i="4"/>
  <c r="J178" i="4"/>
  <c r="H178" i="4"/>
  <c r="I94" i="2"/>
  <c r="I95" i="2"/>
  <c r="I3" i="2"/>
  <c r="I139" i="1"/>
  <c r="J94" i="2"/>
  <c r="J95" i="2"/>
  <c r="J3" i="2"/>
  <c r="M3" i="4"/>
  <c r="I178" i="4"/>
  <c r="K94" i="2"/>
  <c r="K95" i="2"/>
  <c r="K3" i="2"/>
  <c r="N142" i="4"/>
  <c r="N3" i="4"/>
  <c r="J186" i="2"/>
  <c r="J188" i="2"/>
  <c r="L94" i="2"/>
  <c r="N112" i="2"/>
  <c r="B139" i="1"/>
  <c r="C187" i="4"/>
  <c r="F128" i="1"/>
  <c r="L182" i="4"/>
  <c r="L194" i="2"/>
  <c r="L95" i="2"/>
  <c r="M94" i="2"/>
  <c r="M95" i="2"/>
  <c r="N94" i="2"/>
  <c r="N95" i="2"/>
  <c r="N3" i="2"/>
  <c r="M3" i="2"/>
  <c r="L62" i="2"/>
  <c r="L3" i="2"/>
  <c r="M78" i="1"/>
  <c r="M79" i="1"/>
  <c r="M84" i="1"/>
  <c r="M86" i="1"/>
  <c r="L79" i="1"/>
  <c r="L84" i="1"/>
  <c r="L8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9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======
ID#AAABgyKixyA
Author    (2025-03-25 07:45:04)
Choose Yes or No</t>
        </r>
      </text>
    </comment>
    <comment ref="D20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======
ID#AAABgyKixx8
Author    (2025-03-25 07:45:04)
Choose Yes or No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WByq7HFEbXnVW9DlOluQ9WgEEwA=="/>
    </ext>
  </extLst>
</comments>
</file>

<file path=xl/sharedStrings.xml><?xml version="1.0" encoding="utf-8"?>
<sst xmlns="http://schemas.openxmlformats.org/spreadsheetml/2006/main" count="720" uniqueCount="280">
  <si>
    <t>Assumptions</t>
  </si>
  <si>
    <t>Transaction Inputs</t>
  </si>
  <si>
    <t>Scenarios</t>
  </si>
  <si>
    <t>Acquirer Name</t>
  </si>
  <si>
    <t>Online Company Inc</t>
  </si>
  <si>
    <t>Scenario #</t>
  </si>
  <si>
    <t>LIVE --&gt;</t>
  </si>
  <si>
    <t>Target Name</t>
  </si>
  <si>
    <t>Brick 'n' Mortar Co</t>
  </si>
  <si>
    <t>Acquirer Share Price</t>
  </si>
  <si>
    <t>Synergies</t>
  </si>
  <si>
    <t>Target Share Price</t>
  </si>
  <si>
    <t>Revenue enhancement</t>
  </si>
  <si>
    <t>Transaction Close Date</t>
  </si>
  <si>
    <t>COGS savings</t>
  </si>
  <si>
    <t>Financial Reporting Units</t>
  </si>
  <si>
    <t>$'000s</t>
  </si>
  <si>
    <t>Marketing savings</t>
  </si>
  <si>
    <t>Currency</t>
  </si>
  <si>
    <t>USD</t>
  </si>
  <si>
    <t>General &amp; Admin savings</t>
  </si>
  <si>
    <t>Restructuring Charges</t>
  </si>
  <si>
    <t>Synergies in Year 1 (full yr.)</t>
  </si>
  <si>
    <t>Equity Issuance Fees</t>
  </si>
  <si>
    <t>Synergies in Year 2</t>
  </si>
  <si>
    <t>Debt Issuance Fees</t>
  </si>
  <si>
    <t>Synergies in Years 3+</t>
  </si>
  <si>
    <t>Other Closing Costs</t>
  </si>
  <si>
    <t>Financing</t>
  </si>
  <si>
    <t>Replace Target Debt</t>
  </si>
  <si>
    <t>Yes</t>
  </si>
  <si>
    <t>Debt Tranche</t>
  </si>
  <si>
    <t>Replace Acquirer Debt</t>
  </si>
  <si>
    <t>No</t>
  </si>
  <si>
    <t>Senior Debt A</t>
  </si>
  <si>
    <t>Senior Debt B</t>
  </si>
  <si>
    <t>Acquirer FD Shares Outstanding</t>
  </si>
  <si>
    <t>Subordinated Debt</t>
  </si>
  <si>
    <t>Target FD Share Outstanding</t>
  </si>
  <si>
    <t>Interest Rate</t>
  </si>
  <si>
    <t>Shares Issued</t>
  </si>
  <si>
    <t>Pro Forma Shares Outstanding</t>
  </si>
  <si>
    <t>Share Issuance Discount</t>
  </si>
  <si>
    <t>Share Issuance Price</t>
  </si>
  <si>
    <t>Transaction</t>
  </si>
  <si>
    <t>Takeover Premium</t>
  </si>
  <si>
    <t>Purchase Price</t>
  </si>
  <si>
    <t>Cash Consideration</t>
  </si>
  <si>
    <t>Offer Price</t>
  </si>
  <si>
    <t>Sources &amp; Uses of Cash</t>
  </si>
  <si>
    <t>Sources of Cash</t>
  </si>
  <si>
    <t>Share Exchange Ratio</t>
  </si>
  <si>
    <t>Cash</t>
  </si>
  <si>
    <t>Stock Issued</t>
  </si>
  <si>
    <t>Stock Consideration</t>
  </si>
  <si>
    <t>Target Shares Outstanding</t>
  </si>
  <si>
    <t>Debt Issued</t>
  </si>
  <si>
    <t>Target Debt - Replace (ST+LT)</t>
  </si>
  <si>
    <t>Acquirer Debt - Replace (ST+LT)</t>
  </si>
  <si>
    <t>Debt Financing Fees</t>
  </si>
  <si>
    <t>Target Debt (Total Debt ST + LT)</t>
  </si>
  <si>
    <t>Equity Financing Fees</t>
  </si>
  <si>
    <t>Target Cash</t>
  </si>
  <si>
    <t>Enterprise Value</t>
  </si>
  <si>
    <t>Total Sources</t>
  </si>
  <si>
    <t>Total Uses</t>
  </si>
  <si>
    <t>^ Total cash needed for transaction</t>
  </si>
  <si>
    <t>Goodwill and Purchase Price Allocation</t>
  </si>
  <si>
    <t>Fair Market Value</t>
  </si>
  <si>
    <t>Book Value</t>
  </si>
  <si>
    <t>Fair Value</t>
  </si>
  <si>
    <t>Adjustment</t>
  </si>
  <si>
    <t>Purchase Price Allocation</t>
  </si>
  <si>
    <t>Inventory &amp; Other Current Assets</t>
  </si>
  <si>
    <t>Total Purchase Price</t>
  </si>
  <si>
    <t>Target PP&amp;E</t>
  </si>
  <si>
    <t>Net Book Value of Assets</t>
  </si>
  <si>
    <t>Identifiable Intangibles</t>
  </si>
  <si>
    <t>Excess Purchase Price</t>
  </si>
  <si>
    <t>Net Identifiable Assets</t>
  </si>
  <si>
    <t>Write-off Existing Goodwill</t>
  </si>
  <si>
    <t>Fair Value Adjustments</t>
  </si>
  <si>
    <t>Excess Purchase Price After Adjustments</t>
  </si>
  <si>
    <t xml:space="preserve">Goodwill </t>
  </si>
  <si>
    <t>&gt;&gt; Good will on proforma balance sheet</t>
  </si>
  <si>
    <t>Closing Balance Sheet</t>
  </si>
  <si>
    <t>Pro Forma Consolidated Balance Sheet</t>
  </si>
  <si>
    <t>Step #</t>
  </si>
  <si>
    <t>Acquirer</t>
  </si>
  <si>
    <t>Target</t>
  </si>
  <si>
    <t>Target PF</t>
  </si>
  <si>
    <t>Purchase</t>
  </si>
  <si>
    <t>Total Adj.</t>
  </si>
  <si>
    <t>Consol</t>
  </si>
  <si>
    <t>Debt +  Equity</t>
  </si>
  <si>
    <t>Fees</t>
  </si>
  <si>
    <t>Refi Debt</t>
  </si>
  <si>
    <t>Assets</t>
  </si>
  <si>
    <t>Accounts Receivable</t>
  </si>
  <si>
    <t>Inventory</t>
  </si>
  <si>
    <t>Current Assets</t>
  </si>
  <si>
    <t>Property &amp; Equipment</t>
  </si>
  <si>
    <t>Goodwill</t>
  </si>
  <si>
    <t>Total Assets</t>
  </si>
  <si>
    <t>Liabilities</t>
  </si>
  <si>
    <t>Short Term Debt</t>
  </si>
  <si>
    <t>Accounts Payable</t>
  </si>
  <si>
    <t>Current Liabilities</t>
  </si>
  <si>
    <t>Long Term Debt</t>
  </si>
  <si>
    <t>Total Liabilities</t>
  </si>
  <si>
    <t>Shareholder's Equity</t>
  </si>
  <si>
    <t>Equity Capital</t>
  </si>
  <si>
    <t>Retained Earnings</t>
  </si>
  <si>
    <t>Total Liabilities &amp; Shareholder's Equity</t>
  </si>
  <si>
    <t>Check</t>
  </si>
  <si>
    <t>Accretion/Dilution Analysis</t>
  </si>
  <si>
    <t>Earnings Per Share</t>
  </si>
  <si>
    <t>Acquirer Net Earnings</t>
  </si>
  <si>
    <t>Target Net Earnings</t>
  </si>
  <si>
    <t>Pro Forma Net Earnings</t>
  </si>
  <si>
    <t>Acquirer Shares O/S</t>
  </si>
  <si>
    <t>Target Share O/S</t>
  </si>
  <si>
    <t>Pro Forma Shares O/S</t>
  </si>
  <si>
    <t>Acquirer EPS</t>
  </si>
  <si>
    <t>Target EPS</t>
  </si>
  <si>
    <t>Pro Forma EPS</t>
  </si>
  <si>
    <t>Accretion/Dilution</t>
  </si>
  <si>
    <t>Cash Flow Per Share</t>
  </si>
  <si>
    <t>Acquirer Cash Flow</t>
  </si>
  <si>
    <t>Target Cash Flow</t>
  </si>
  <si>
    <t>Pro Forma Cash Flow</t>
  </si>
  <si>
    <t>Acquirer CFPS</t>
  </si>
  <si>
    <t>Target CFPS</t>
  </si>
  <si>
    <t>Pro Forma CFPS</t>
  </si>
  <si>
    <t>Summary &amp; Sensitivity</t>
  </si>
  <si>
    <t>Share Price Impact</t>
  </si>
  <si>
    <t>Capital Structure</t>
  </si>
  <si>
    <t>Market Price</t>
  </si>
  <si>
    <t>DCF Model</t>
  </si>
  <si>
    <t>Current</t>
  </si>
  <si>
    <t>Pro Forma</t>
  </si>
  <si>
    <t>Change</t>
  </si>
  <si>
    <t>Target Price per Share</t>
  </si>
  <si>
    <t>Equity</t>
  </si>
  <si>
    <t>Acquirer Price per Share</t>
  </si>
  <si>
    <t>Debt</t>
  </si>
  <si>
    <t>Pro Forma Price per Share</t>
  </si>
  <si>
    <t>Change in Acquirer NPV per Share</t>
  </si>
  <si>
    <t>Shares Outstanding</t>
  </si>
  <si>
    <t>Equity Value/Share</t>
  </si>
  <si>
    <t>Implied Share Price Change</t>
  </si>
  <si>
    <t>2019 EPS Accretion/(Dilution)</t>
  </si>
  <si>
    <t>Rev Enhance</t>
  </si>
  <si>
    <t>Target Sh Price</t>
  </si>
  <si>
    <t xml:space="preserve"> Forecast Period</t>
  </si>
  <si>
    <t>Pro Forma Model</t>
  </si>
  <si>
    <t>CLOSE</t>
  </si>
  <si>
    <t>Balance Sheet Check</t>
  </si>
  <si>
    <t>End of Period</t>
  </si>
  <si>
    <t>Days in Period</t>
  </si>
  <si>
    <t>Fraction of Year</t>
  </si>
  <si>
    <t>Debt Amortization Schedule</t>
  </si>
  <si>
    <t>Revenue Growth (% Change)</t>
  </si>
  <si>
    <t>Cost of Goods Sold (% of Revenue)</t>
  </si>
  <si>
    <t>Marketing, Advertising &amp; Promotion (% of Revenue)</t>
  </si>
  <si>
    <t>Depreciation &amp; Amortization (% of PP&amp;E)</t>
  </si>
  <si>
    <t>Tax Rate (% of Earnings Before Tax)</t>
  </si>
  <si>
    <t>Accounts Receivable (Days)</t>
  </si>
  <si>
    <t>Inventory (Days)</t>
  </si>
  <si>
    <t>Accounts Payable (Days)</t>
  </si>
  <si>
    <t>Equity Issued (Repaid) ($000's)</t>
  </si>
  <si>
    <t>Dividends Paid</t>
  </si>
  <si>
    <t>Income Statement</t>
  </si>
  <si>
    <t>Revenue</t>
  </si>
  <si>
    <t>Cost of Goods Sold (COGS)</t>
  </si>
  <si>
    <t>Gross Profit</t>
  </si>
  <si>
    <t>Expenses</t>
  </si>
  <si>
    <t>Marketing, Advertising &amp; Promotion</t>
  </si>
  <si>
    <t>General &amp; Administrative</t>
  </si>
  <si>
    <t>Depreciation &amp; Amortization</t>
  </si>
  <si>
    <t>Interest</t>
  </si>
  <si>
    <t>Total Expenses</t>
  </si>
  <si>
    <t>Earnings Before Tax</t>
  </si>
  <si>
    <t>Taxes</t>
  </si>
  <si>
    <t>Net Earnings</t>
  </si>
  <si>
    <t>Balance Sheet</t>
  </si>
  <si>
    <t>Cash Flow Statement</t>
  </si>
  <si>
    <t>Operating Cash Flow</t>
  </si>
  <si>
    <t>Plus: Depreciation &amp; Amortization</t>
  </si>
  <si>
    <t>Less: Changes in Working Capital</t>
  </si>
  <si>
    <t>Cash from Operations</t>
  </si>
  <si>
    <t>Investing Cash Flow</t>
  </si>
  <si>
    <t>Investments in Property &amp; Equipment</t>
  </si>
  <si>
    <t>Investments in Businesses</t>
  </si>
  <si>
    <t>Cash from Investing</t>
  </si>
  <si>
    <t>Financing Cash Flow</t>
  </si>
  <si>
    <t>Issuance (repayment) of debt</t>
  </si>
  <si>
    <t>Issuance (repayment) of equity</t>
  </si>
  <si>
    <t>Payment of Dividends</t>
  </si>
  <si>
    <t>Cash from Financing</t>
  </si>
  <si>
    <t>Net Increase (decrease) in Cash</t>
  </si>
  <si>
    <t>Opening Cash Balance</t>
  </si>
  <si>
    <t>Closing Cash Balance</t>
  </si>
  <si>
    <t>Supporting Schedules</t>
  </si>
  <si>
    <t>Working Capital Schedule</t>
  </si>
  <si>
    <t>Net Working Capital (NWC)</t>
  </si>
  <si>
    <t>Change in NWC</t>
  </si>
  <si>
    <t>Depreciation Schedule</t>
  </si>
  <si>
    <t>PPE Opening</t>
  </si>
  <si>
    <t>Plus Capex</t>
  </si>
  <si>
    <t>Less Depreciation</t>
  </si>
  <si>
    <t>PPE Closing</t>
  </si>
  <si>
    <t>Debt Schedule</t>
  </si>
  <si>
    <t>Opening Balance</t>
  </si>
  <si>
    <t>Addition (Repayment)</t>
  </si>
  <si>
    <t>Closing Balance</t>
  </si>
  <si>
    <t>Target Debt</t>
  </si>
  <si>
    <t>Acquirer Debt</t>
  </si>
  <si>
    <t>Total Debt</t>
  </si>
  <si>
    <t>Interest Schedule</t>
  </si>
  <si>
    <t>Interest Rates</t>
  </si>
  <si>
    <t>Interest Expense (opening balance)</t>
  </si>
  <si>
    <t xml:space="preserve">Total </t>
  </si>
  <si>
    <t>Tax Rate</t>
  </si>
  <si>
    <t>Discount Rate</t>
  </si>
  <si>
    <t>Perpetual Growth Rate</t>
  </si>
  <si>
    <t>EV/EBITDA Multiple</t>
  </si>
  <si>
    <t>Current Price</t>
  </si>
  <si>
    <t>Discounted Cash Flow</t>
  </si>
  <si>
    <t>Entry</t>
  </si>
  <si>
    <t>Exit</t>
  </si>
  <si>
    <t>Terminal Value</t>
  </si>
  <si>
    <t>Date</t>
  </si>
  <si>
    <t>EV/EBITDA</t>
  </si>
  <si>
    <t>EBIT</t>
  </si>
  <si>
    <t>Less: Cash Taxes</t>
  </si>
  <si>
    <t>NOPAT</t>
  </si>
  <si>
    <t>Plus: D&amp;A</t>
  </si>
  <si>
    <t>EBITDA</t>
  </si>
  <si>
    <t>Less: Capex</t>
  </si>
  <si>
    <t>Less: Changes in NWC</t>
  </si>
  <si>
    <t>Unlevered FCF</t>
  </si>
  <si>
    <t>Transaction FCFF</t>
  </si>
  <si>
    <t>IRR FCFF</t>
  </si>
  <si>
    <t>Intrinsic Value</t>
  </si>
  <si>
    <t>Market Value</t>
  </si>
  <si>
    <t>Rate of Return</t>
  </si>
  <si>
    <t>Market Cap</t>
  </si>
  <si>
    <t>IRR</t>
  </si>
  <si>
    <t>Plus: Cash</t>
  </si>
  <si>
    <t>Plus: Debt</t>
  </si>
  <si>
    <t>Less: Debt</t>
  </si>
  <si>
    <t>Less: Cash</t>
  </si>
  <si>
    <t>Equity Value</t>
  </si>
  <si>
    <t>Merger Integration</t>
  </si>
  <si>
    <t>Total</t>
  </si>
  <si>
    <t>Cost of Goods Sold</t>
  </si>
  <si>
    <t>Historical Results</t>
  </si>
  <si>
    <t>Stub</t>
  </si>
  <si>
    <t>LIVE SCENARIO</t>
  </si>
  <si>
    <t>SCENARIO 1</t>
  </si>
  <si>
    <t>Salaries and Benefits (% of Revenue)</t>
  </si>
  <si>
    <t>Rent and Overhead ($000's)</t>
  </si>
  <si>
    <t>Interest (% of Debt)</t>
  </si>
  <si>
    <t>Capital Expenditures ($000's)</t>
  </si>
  <si>
    <t>Debt Issuance (Repayment) ($000's)</t>
  </si>
  <si>
    <t>SCENARIO 2</t>
  </si>
  <si>
    <t>General &amp; Administrative ($000's)</t>
  </si>
  <si>
    <t xml:space="preserve"> </t>
  </si>
  <si>
    <t>Debt &amp; Interest Schedule</t>
  </si>
  <si>
    <t>Debt Opening</t>
  </si>
  <si>
    <t>Issuance (repayment)</t>
  </si>
  <si>
    <t>Debt Closing</t>
  </si>
  <si>
    <t>Interest Expense</t>
  </si>
  <si>
    <t>Year Fraction</t>
  </si>
  <si>
    <t>Takeover</t>
  </si>
  <si>
    <t>IRR (Current Share Price)</t>
  </si>
  <si>
    <t>Discounting FCF</t>
  </si>
  <si>
    <t>-</t>
  </si>
  <si>
    <t>$11.63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</si>
</sst>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 * #,##0_ ;_ * \-#,##0_ ;_ * &quot;-&quot;_ ;_ @_ "/>
    <numFmt numFmtId="43" formatCode="_ * #,##0.00_ ;_ * \-#,##0.00_ ;_ * &quot;-&quot;??_ ;_ @_ "/>
    <numFmt numFmtId="164" formatCode="&quot;$&quot;#,##0.00_);\(&quot;$&quot;#,##0.00\)"/>
    <numFmt numFmtId="165" formatCode="_(* #,##0.00_);_(* \(#,##0.00\);_(* &quot;-&quot;??_);_(@_)"/>
    <numFmt numFmtId="166" formatCode="_-* #,##0_-;\(#,##0\)_-;_-* &quot;-&quot;_-;_-@"/>
    <numFmt numFmtId="167" formatCode="d/m/yyyy"/>
    <numFmt numFmtId="168" formatCode="0.0%"/>
    <numFmt numFmtId="169" formatCode="_-* #,##0.000_-;\(#,##0.000\)_-;_-* &quot;-&quot;_-;_-@"/>
    <numFmt numFmtId="170" formatCode="0.000"/>
    <numFmt numFmtId="171" formatCode="_-* #,##0.00_-;\(#,##0.00\)_-;_-* &quot;-&quot;_-;_-@"/>
    <numFmt numFmtId="172" formatCode="_(* #,##0_);_(* \(#,##0\);_(* &quot;-&quot;??_);_(@_)"/>
    <numFmt numFmtId="173" formatCode="_-* #,##0_-;\-* #,##0_-;_-* &quot;-&quot;??_-;_-@"/>
    <numFmt numFmtId="174" formatCode="0.0000_ ;\-0.0000\ "/>
    <numFmt numFmtId="175" formatCode="0.0\x"/>
    <numFmt numFmtId="176" formatCode="_-* #,##0_-;\(#,##0\)_-;_-* &quot;-&quot;_-;_-@_-"/>
    <numFmt numFmtId="177" formatCode="#,##0.0"/>
  </numFmts>
  <fonts count="4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6"/>
      <color theme="0"/>
      <name val="Calibri"/>
      <family val="2"/>
    </font>
    <font>
      <b/>
      <sz val="14"/>
      <color theme="0"/>
      <name val="Calibri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FF"/>
      <name val="Calibri"/>
      <family val="2"/>
    </font>
    <font>
      <sz val="12"/>
      <color rgb="FF00B050"/>
      <name val="Calibri"/>
      <family val="2"/>
    </font>
    <font>
      <i/>
      <sz val="12"/>
      <color rgb="FF0000FF"/>
      <name val="Calibri"/>
      <family val="2"/>
    </font>
    <font>
      <sz val="10"/>
      <color theme="1"/>
      <name val="Calibri"/>
      <family val="2"/>
    </font>
    <font>
      <b/>
      <u/>
      <sz val="12"/>
      <color theme="1"/>
      <name val="Calibri"/>
      <family val="2"/>
    </font>
    <font>
      <b/>
      <sz val="14"/>
      <color theme="1"/>
      <name val="Calibri"/>
      <family val="2"/>
    </font>
    <font>
      <sz val="10"/>
      <name val="Arial"/>
      <family val="2"/>
    </font>
    <font>
      <sz val="12"/>
      <color theme="0"/>
      <name val="Calibri"/>
      <family val="2"/>
    </font>
    <font>
      <sz val="8"/>
      <color theme="0"/>
      <name val="Calibri"/>
      <family val="2"/>
    </font>
    <font>
      <b/>
      <sz val="12"/>
      <color theme="0"/>
      <name val="Calibri"/>
      <family val="2"/>
    </font>
    <font>
      <i/>
      <sz val="12"/>
      <color rgb="FF000000"/>
      <name val="Calibri"/>
      <family val="2"/>
    </font>
    <font>
      <sz val="10"/>
      <color theme="1"/>
      <name val="Arial"/>
      <family val="2"/>
    </font>
    <font>
      <b/>
      <sz val="12"/>
      <color rgb="FF0000FF"/>
      <name val="Calibri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theme="1"/>
      <name val="Calibri"/>
      <family val="2"/>
    </font>
    <font>
      <i/>
      <sz val="12"/>
      <color rgb="FF00B050"/>
      <name val="Calibri"/>
      <family val="2"/>
    </font>
    <font>
      <b/>
      <sz val="12"/>
      <color rgb="FFFFFFFF"/>
      <name val="Calibri"/>
      <family val="2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 Narrow"/>
      <family val="2"/>
    </font>
    <font>
      <sz val="12"/>
      <name val="Arial"/>
      <family val="2"/>
      <scheme val="minor"/>
    </font>
    <font>
      <b/>
      <sz val="12"/>
      <color theme="1"/>
      <name val="Calibri"/>
      <family val="2"/>
    </font>
    <font>
      <sz val="11"/>
      <name val="Arial"/>
      <family val="2"/>
      <scheme val="minor"/>
    </font>
    <font>
      <sz val="12"/>
      <color theme="3"/>
      <name val="Calibri"/>
      <family val="2"/>
    </font>
    <font>
      <sz val="10"/>
      <color theme="3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C2D69B"/>
        <bgColor rgb="FFC2D69B"/>
      </patternFill>
    </fill>
    <fill>
      <patternFill patternType="solid">
        <fgColor rgb="FFF2F2F2"/>
        <bgColor rgb="FFF2F2F2"/>
      </patternFill>
    </fill>
    <fill>
      <patternFill patternType="solid">
        <fgColor rgb="FF00B0F0"/>
        <bgColor rgb="FF00B0F0"/>
      </patternFill>
    </fill>
    <fill>
      <patternFill patternType="solid">
        <fgColor rgb="FFFA621C"/>
        <bgColor rgb="FFFA621C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2" fillId="0" borderId="0" applyFont="0" applyFill="0" applyBorder="0" applyAlignment="0" applyProtection="0"/>
    <xf numFmtId="9" fontId="34" fillId="0" borderId="9" applyFont="0" applyFill="0" applyBorder="0" applyAlignment="0" applyProtection="0"/>
    <xf numFmtId="165" fontId="34" fillId="0" borderId="9" applyFont="0" applyFill="0" applyBorder="0" applyAlignment="0" applyProtection="0"/>
  </cellStyleXfs>
  <cellXfs count="204">
    <xf numFmtId="0" fontId="0" fillId="0" borderId="0" xfId="0"/>
    <xf numFmtId="166" fontId="10" fillId="0" borderId="0" xfId="0" applyNumberFormat="1" applyFont="1"/>
    <xf numFmtId="166" fontId="10" fillId="0" borderId="0" xfId="0" applyNumberFormat="1" applyFont="1" applyAlignment="1">
      <alignment horizontal="center"/>
    </xf>
    <xf numFmtId="166" fontId="11" fillId="0" borderId="0" xfId="0" applyNumberFormat="1" applyFont="1" applyAlignment="1">
      <alignment horizontal="right"/>
    </xf>
    <xf numFmtId="166" fontId="13" fillId="0" borderId="0" xfId="0" applyNumberFormat="1" applyFont="1" applyAlignment="1">
      <alignment horizontal="right"/>
    </xf>
    <xf numFmtId="166" fontId="12" fillId="5" borderId="1" xfId="0" applyNumberFormat="1" applyFont="1" applyFill="1" applyBorder="1"/>
    <xf numFmtId="166" fontId="12" fillId="5" borderId="2" xfId="0" applyNumberFormat="1" applyFont="1" applyFill="1" applyBorder="1" applyAlignment="1">
      <alignment horizontal="right"/>
    </xf>
    <xf numFmtId="166" fontId="12" fillId="5" borderId="3" xfId="0" applyNumberFormat="1" applyFont="1" applyFill="1" applyBorder="1"/>
    <xf numFmtId="166" fontId="13" fillId="0" borderId="0" xfId="0" applyNumberFormat="1" applyFont="1"/>
    <xf numFmtId="166" fontId="10" fillId="0" borderId="4" xfId="0" applyNumberFormat="1" applyFont="1" applyBorder="1"/>
    <xf numFmtId="166" fontId="10" fillId="0" borderId="4" xfId="0" applyNumberFormat="1" applyFont="1" applyBorder="1" applyAlignment="1">
      <alignment horizontal="center"/>
    </xf>
    <xf numFmtId="166" fontId="13" fillId="0" borderId="4" xfId="0" applyNumberFormat="1" applyFont="1" applyBorder="1" applyAlignment="1">
      <alignment horizontal="right"/>
    </xf>
    <xf numFmtId="166" fontId="10" fillId="0" borderId="0" xfId="0" applyNumberFormat="1" applyFont="1" applyAlignment="1">
      <alignment horizontal="right"/>
    </xf>
    <xf numFmtId="164" fontId="13" fillId="0" borderId="0" xfId="0" applyNumberFormat="1" applyFont="1"/>
    <xf numFmtId="166" fontId="12" fillId="0" borderId="0" xfId="0" applyNumberFormat="1" applyFont="1"/>
    <xf numFmtId="167" fontId="13" fillId="0" borderId="0" xfId="0" applyNumberFormat="1" applyFont="1"/>
    <xf numFmtId="166" fontId="10" fillId="0" borderId="0" xfId="0" quotePrefix="1" applyNumberFormat="1" applyFont="1"/>
    <xf numFmtId="9" fontId="13" fillId="0" borderId="0" xfId="0" applyNumberFormat="1" applyFont="1"/>
    <xf numFmtId="168" fontId="13" fillId="0" borderId="0" xfId="0" applyNumberFormat="1" applyFont="1"/>
    <xf numFmtId="166" fontId="10" fillId="6" borderId="5" xfId="0" applyNumberFormat="1" applyFont="1" applyFill="1" applyBorder="1"/>
    <xf numFmtId="10" fontId="13" fillId="0" borderId="0" xfId="0" applyNumberFormat="1" applyFont="1"/>
    <xf numFmtId="164" fontId="10" fillId="0" borderId="0" xfId="0" applyNumberFormat="1" applyFont="1"/>
    <xf numFmtId="168" fontId="10" fillId="0" borderId="0" xfId="0" applyNumberFormat="1" applyFont="1"/>
    <xf numFmtId="169" fontId="10" fillId="0" borderId="0" xfId="0" applyNumberFormat="1" applyFont="1"/>
    <xf numFmtId="166" fontId="14" fillId="0" borderId="0" xfId="0" applyNumberFormat="1" applyFont="1"/>
    <xf numFmtId="166" fontId="11" fillId="0" borderId="0" xfId="0" applyNumberFormat="1" applyFont="1"/>
    <xf numFmtId="166" fontId="11" fillId="0" borderId="0" xfId="0" applyNumberFormat="1" applyFont="1" applyAlignment="1">
      <alignment horizontal="center"/>
    </xf>
    <xf numFmtId="166" fontId="15" fillId="0" borderId="0" xfId="0" applyNumberFormat="1" applyFont="1"/>
    <xf numFmtId="166" fontId="12" fillId="0" borderId="0" xfId="0" applyNumberFormat="1" applyFont="1" applyAlignment="1">
      <alignment horizontal="right"/>
    </xf>
    <xf numFmtId="166" fontId="12" fillId="6" borderId="5" xfId="0" applyNumberFormat="1" applyFont="1" applyFill="1" applyBorder="1"/>
    <xf numFmtId="166" fontId="12" fillId="6" borderId="6" xfId="0" applyNumberFormat="1" applyFont="1" applyFill="1" applyBorder="1"/>
    <xf numFmtId="166" fontId="12" fillId="6" borderId="7" xfId="0" applyNumberFormat="1" applyFont="1" applyFill="1" applyBorder="1"/>
    <xf numFmtId="170" fontId="11" fillId="0" borderId="0" xfId="0" applyNumberFormat="1" applyFont="1"/>
    <xf numFmtId="165" fontId="10" fillId="0" borderId="0" xfId="0" applyNumberFormat="1" applyFont="1"/>
    <xf numFmtId="166" fontId="17" fillId="0" borderId="0" xfId="0" applyNumberFormat="1" applyFont="1"/>
    <xf numFmtId="0" fontId="18" fillId="0" borderId="0" xfId="0" applyFont="1"/>
    <xf numFmtId="171" fontId="10" fillId="0" borderId="0" xfId="0" applyNumberFormat="1" applyFont="1"/>
    <xf numFmtId="166" fontId="12" fillId="0" borderId="8" xfId="0" applyNumberFormat="1" applyFont="1" applyBorder="1"/>
    <xf numFmtId="9" fontId="10" fillId="0" borderId="0" xfId="0" applyNumberFormat="1" applyFont="1"/>
    <xf numFmtId="168" fontId="12" fillId="0" borderId="0" xfId="0" applyNumberFormat="1" applyFont="1"/>
    <xf numFmtId="164" fontId="12" fillId="0" borderId="0" xfId="0" applyNumberFormat="1" applyFont="1"/>
    <xf numFmtId="9" fontId="13" fillId="0" borderId="0" xfId="0" applyNumberFormat="1" applyFont="1" applyAlignment="1">
      <alignment horizontal="right"/>
    </xf>
    <xf numFmtId="166" fontId="23" fillId="0" borderId="0" xfId="0" applyNumberFormat="1" applyFont="1"/>
    <xf numFmtId="167" fontId="15" fillId="0" borderId="0" xfId="0" applyNumberFormat="1" applyFont="1" applyAlignment="1">
      <alignment horizontal="right"/>
    </xf>
    <xf numFmtId="167" fontId="11" fillId="0" borderId="0" xfId="0" applyNumberFormat="1" applyFont="1" applyAlignment="1">
      <alignment horizontal="right"/>
    </xf>
    <xf numFmtId="166" fontId="15" fillId="0" borderId="0" xfId="0" applyNumberFormat="1" applyFont="1" applyAlignment="1">
      <alignment horizontal="right"/>
    </xf>
    <xf numFmtId="166" fontId="23" fillId="0" borderId="0" xfId="0" applyNumberFormat="1" applyFont="1" applyAlignment="1">
      <alignment horizontal="right"/>
    </xf>
    <xf numFmtId="169" fontId="15" fillId="0" borderId="0" xfId="0" applyNumberFormat="1" applyFont="1" applyAlignment="1">
      <alignment horizontal="right"/>
    </xf>
    <xf numFmtId="169" fontId="23" fillId="0" borderId="0" xfId="0" applyNumberFormat="1" applyFont="1" applyAlignment="1">
      <alignment horizontal="right"/>
    </xf>
    <xf numFmtId="9" fontId="11" fillId="0" borderId="0" xfId="0" applyNumberFormat="1" applyFont="1"/>
    <xf numFmtId="166" fontId="24" fillId="0" borderId="0" xfId="0" applyNumberFormat="1" applyFont="1"/>
    <xf numFmtId="166" fontId="25" fillId="0" borderId="0" xfId="0" applyNumberFormat="1" applyFont="1"/>
    <xf numFmtId="166" fontId="25" fillId="0" borderId="0" xfId="0" applyNumberFormat="1" applyFont="1" applyAlignment="1">
      <alignment horizontal="center"/>
    </xf>
    <xf numFmtId="168" fontId="24" fillId="0" borderId="0" xfId="0" applyNumberFormat="1" applyFont="1"/>
    <xf numFmtId="166" fontId="13" fillId="0" borderId="0" xfId="0" applyNumberFormat="1" applyFont="1" applyAlignment="1">
      <alignment horizontal="center"/>
    </xf>
    <xf numFmtId="168" fontId="13" fillId="0" borderId="0" xfId="0" applyNumberFormat="1" applyFont="1" applyAlignment="1">
      <alignment horizontal="right"/>
    </xf>
    <xf numFmtId="166" fontId="15" fillId="0" borderId="0" xfId="0" applyNumberFormat="1" applyFont="1" applyAlignment="1">
      <alignment horizontal="center"/>
    </xf>
    <xf numFmtId="9" fontId="13" fillId="0" borderId="0" xfId="0" applyNumberFormat="1" applyFont="1" applyAlignment="1">
      <alignment horizontal="center"/>
    </xf>
    <xf numFmtId="166" fontId="12" fillId="0" borderId="0" xfId="0" applyNumberFormat="1" applyFont="1" applyAlignment="1">
      <alignment horizontal="center"/>
    </xf>
    <xf numFmtId="9" fontId="25" fillId="0" borderId="0" xfId="0" applyNumberFormat="1" applyFont="1"/>
    <xf numFmtId="172" fontId="10" fillId="0" borderId="0" xfId="0" applyNumberFormat="1" applyFont="1"/>
    <xf numFmtId="0" fontId="26" fillId="0" borderId="0" xfId="0" applyFont="1"/>
    <xf numFmtId="173" fontId="10" fillId="0" borderId="0" xfId="0" applyNumberFormat="1" applyFont="1"/>
    <xf numFmtId="166" fontId="28" fillId="0" borderId="0" xfId="0" applyNumberFormat="1" applyFont="1"/>
    <xf numFmtId="174" fontId="11" fillId="0" borderId="0" xfId="0" applyNumberFormat="1" applyFont="1"/>
    <xf numFmtId="174" fontId="11" fillId="0" borderId="0" xfId="0" applyNumberFormat="1" applyFont="1" applyAlignment="1">
      <alignment horizontal="center"/>
    </xf>
    <xf numFmtId="166" fontId="14" fillId="0" borderId="0" xfId="0" applyNumberFormat="1" applyFont="1" applyAlignment="1">
      <alignment horizontal="center"/>
    </xf>
    <xf numFmtId="168" fontId="14" fillId="0" borderId="0" xfId="0" applyNumberFormat="1" applyFont="1"/>
    <xf numFmtId="175" fontId="13" fillId="0" borderId="0" xfId="0" applyNumberFormat="1" applyFont="1" applyAlignment="1">
      <alignment horizontal="right"/>
    </xf>
    <xf numFmtId="164" fontId="14" fillId="0" borderId="0" xfId="0" applyNumberFormat="1" applyFont="1" applyAlignment="1">
      <alignment horizontal="right"/>
    </xf>
    <xf numFmtId="173" fontId="14" fillId="0" borderId="0" xfId="0" applyNumberFormat="1" applyFont="1" applyAlignment="1">
      <alignment horizontal="right"/>
    </xf>
    <xf numFmtId="173" fontId="13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12" fillId="0" borderId="0" xfId="0" applyFont="1"/>
    <xf numFmtId="171" fontId="11" fillId="0" borderId="0" xfId="0" applyNumberFormat="1" applyFont="1"/>
    <xf numFmtId="171" fontId="12" fillId="0" borderId="0" xfId="0" applyNumberFormat="1" applyFont="1"/>
    <xf numFmtId="166" fontId="23" fillId="0" borderId="0" xfId="0" applyNumberFormat="1" applyFont="1" applyAlignment="1">
      <alignment horizontal="center"/>
    </xf>
    <xf numFmtId="167" fontId="30" fillId="0" borderId="0" xfId="0" applyNumberFormat="1" applyFont="1" applyAlignment="1">
      <alignment horizontal="right"/>
    </xf>
    <xf numFmtId="169" fontId="11" fillId="0" borderId="0" xfId="0" applyNumberFormat="1" applyFont="1" applyAlignment="1">
      <alignment horizontal="right"/>
    </xf>
    <xf numFmtId="166" fontId="25" fillId="4" borderId="10" xfId="0" applyNumberFormat="1" applyFont="1" applyFill="1" applyBorder="1" applyAlignment="1">
      <alignment horizontal="right"/>
    </xf>
    <xf numFmtId="9" fontId="12" fillId="0" borderId="0" xfId="0" applyNumberFormat="1" applyFont="1"/>
    <xf numFmtId="10" fontId="10" fillId="0" borderId="0" xfId="0" applyNumberFormat="1" applyFont="1"/>
    <xf numFmtId="166" fontId="27" fillId="0" borderId="0" xfId="0" applyNumberFormat="1" applyFont="1"/>
    <xf numFmtId="166" fontId="8" fillId="2" borderId="9" xfId="0" applyNumberFormat="1" applyFont="1" applyFill="1" applyBorder="1"/>
    <xf numFmtId="166" fontId="9" fillId="2" borderId="9" xfId="0" applyNumberFormat="1" applyFont="1" applyFill="1" applyBorder="1"/>
    <xf numFmtId="166" fontId="9" fillId="2" borderId="9" xfId="0" applyNumberFormat="1" applyFont="1" applyFill="1" applyBorder="1" applyAlignment="1">
      <alignment horizontal="center"/>
    </xf>
    <xf numFmtId="2" fontId="9" fillId="2" borderId="9" xfId="0" applyNumberFormat="1" applyFont="1" applyFill="1" applyBorder="1"/>
    <xf numFmtId="0" fontId="9" fillId="2" borderId="9" xfId="0" applyFont="1" applyFill="1" applyBorder="1"/>
    <xf numFmtId="166" fontId="8" fillId="3" borderId="9" xfId="0" applyNumberFormat="1" applyFont="1" applyFill="1" applyBorder="1"/>
    <xf numFmtId="166" fontId="10" fillId="3" borderId="9" xfId="0" applyNumberFormat="1" applyFont="1" applyFill="1" applyBorder="1"/>
    <xf numFmtId="166" fontId="10" fillId="3" borderId="9" xfId="0" applyNumberFormat="1" applyFont="1" applyFill="1" applyBorder="1" applyAlignment="1">
      <alignment horizontal="center"/>
    </xf>
    <xf numFmtId="166" fontId="12" fillId="4" borderId="9" xfId="0" applyNumberFormat="1" applyFont="1" applyFill="1" applyBorder="1"/>
    <xf numFmtId="166" fontId="10" fillId="4" borderId="9" xfId="0" applyNumberFormat="1" applyFont="1" applyFill="1" applyBorder="1"/>
    <xf numFmtId="166" fontId="10" fillId="4" borderId="9" xfId="0" applyNumberFormat="1" applyFont="1" applyFill="1" applyBorder="1" applyAlignment="1">
      <alignment horizontal="center"/>
    </xf>
    <xf numFmtId="166" fontId="10" fillId="0" borderId="5" xfId="0" applyNumberFormat="1" applyFont="1" applyBorder="1"/>
    <xf numFmtId="166" fontId="13" fillId="0" borderId="5" xfId="0" applyNumberFormat="1" applyFont="1" applyBorder="1"/>
    <xf numFmtId="166" fontId="10" fillId="6" borderId="9" xfId="0" applyNumberFormat="1" applyFont="1" applyFill="1" applyBorder="1" applyAlignment="1">
      <alignment horizontal="right"/>
    </xf>
    <xf numFmtId="166" fontId="12" fillId="0" borderId="5" xfId="0" applyNumberFormat="1" applyFont="1" applyBorder="1"/>
    <xf numFmtId="166" fontId="10" fillId="6" borderId="9" xfId="0" applyNumberFormat="1" applyFont="1" applyFill="1" applyBorder="1"/>
    <xf numFmtId="168" fontId="13" fillId="0" borderId="5" xfId="0" applyNumberFormat="1" applyFont="1" applyBorder="1"/>
    <xf numFmtId="166" fontId="10" fillId="0" borderId="5" xfId="0" applyNumberFormat="1" applyFont="1" applyBorder="1" applyAlignment="1">
      <alignment horizontal="center"/>
    </xf>
    <xf numFmtId="164" fontId="10" fillId="0" borderId="5" xfId="0" applyNumberFormat="1" applyFont="1" applyBorder="1"/>
    <xf numFmtId="166" fontId="12" fillId="0" borderId="5" xfId="0" applyNumberFormat="1" applyFont="1" applyBorder="1" applyAlignment="1">
      <alignment horizontal="center"/>
    </xf>
    <xf numFmtId="166" fontId="12" fillId="4" borderId="9" xfId="0" applyNumberFormat="1" applyFont="1" applyFill="1" applyBorder="1" applyAlignment="1">
      <alignment horizontal="center"/>
    </xf>
    <xf numFmtId="166" fontId="14" fillId="0" borderId="5" xfId="0" applyNumberFormat="1" applyFont="1" applyBorder="1"/>
    <xf numFmtId="166" fontId="13" fillId="0" borderId="5" xfId="0" applyNumberFormat="1" applyFont="1" applyBorder="1" applyAlignment="1">
      <alignment horizontal="right"/>
    </xf>
    <xf numFmtId="166" fontId="16" fillId="0" borderId="5" xfId="0" applyNumberFormat="1" applyFont="1" applyBorder="1" applyAlignment="1">
      <alignment horizontal="right"/>
    </xf>
    <xf numFmtId="167" fontId="16" fillId="0" borderId="5" xfId="0" applyNumberFormat="1" applyFont="1" applyBorder="1"/>
    <xf numFmtId="166" fontId="12" fillId="0" borderId="6" xfId="0" applyNumberFormat="1" applyFont="1" applyBorder="1"/>
    <xf numFmtId="166" fontId="12" fillId="6" borderId="9" xfId="0" applyNumberFormat="1" applyFont="1" applyFill="1" applyBorder="1"/>
    <xf numFmtId="166" fontId="12" fillId="0" borderId="7" xfId="0" applyNumberFormat="1" applyFont="1" applyBorder="1"/>
    <xf numFmtId="165" fontId="10" fillId="0" borderId="5" xfId="0" applyNumberFormat="1" applyFont="1" applyBorder="1"/>
    <xf numFmtId="166" fontId="17" fillId="6" borderId="9" xfId="0" applyNumberFormat="1" applyFont="1" applyFill="1" applyBorder="1"/>
    <xf numFmtId="166" fontId="12" fillId="0" borderId="7" xfId="0" applyNumberFormat="1" applyFont="1" applyBorder="1" applyAlignment="1">
      <alignment horizontal="center"/>
    </xf>
    <xf numFmtId="9" fontId="12" fillId="0" borderId="7" xfId="0" applyNumberFormat="1" applyFont="1" applyBorder="1"/>
    <xf numFmtId="9" fontId="10" fillId="0" borderId="5" xfId="0" applyNumberFormat="1" applyFont="1" applyBorder="1"/>
    <xf numFmtId="164" fontId="12" fillId="0" borderId="5" xfId="0" applyNumberFormat="1" applyFont="1" applyBorder="1"/>
    <xf numFmtId="168" fontId="10" fillId="0" borderId="5" xfId="0" applyNumberFormat="1" applyFont="1" applyBorder="1"/>
    <xf numFmtId="166" fontId="21" fillId="2" borderId="9" xfId="0" applyNumberFormat="1" applyFont="1" applyFill="1" applyBorder="1"/>
    <xf numFmtId="166" fontId="10" fillId="2" borderId="9" xfId="0" applyNumberFormat="1" applyFont="1" applyFill="1" applyBorder="1"/>
    <xf numFmtId="166" fontId="10" fillId="2" borderId="9" xfId="0" applyNumberFormat="1" applyFont="1" applyFill="1" applyBorder="1" applyAlignment="1">
      <alignment horizontal="center"/>
    </xf>
    <xf numFmtId="166" fontId="10" fillId="7" borderId="9" xfId="0" applyNumberFormat="1" applyFont="1" applyFill="1" applyBorder="1" applyAlignment="1">
      <alignment horizontal="center"/>
    </xf>
    <xf numFmtId="166" fontId="20" fillId="7" borderId="9" xfId="0" applyNumberFormat="1" applyFont="1" applyFill="1" applyBorder="1" applyAlignment="1">
      <alignment horizontal="center"/>
    </xf>
    <xf numFmtId="166" fontId="9" fillId="7" borderId="9" xfId="0" applyNumberFormat="1" applyFont="1" applyFill="1" applyBorder="1" applyAlignment="1">
      <alignment horizontal="center"/>
    </xf>
    <xf numFmtId="0" fontId="9" fillId="7" borderId="9" xfId="0" applyFont="1" applyFill="1" applyBorder="1" applyAlignment="1">
      <alignment horizontal="right"/>
    </xf>
    <xf numFmtId="166" fontId="12" fillId="0" borderId="6" xfId="0" applyNumberFormat="1" applyFont="1" applyBorder="1" applyAlignment="1">
      <alignment horizontal="center"/>
    </xf>
    <xf numFmtId="166" fontId="27" fillId="0" borderId="5" xfId="0" applyNumberFormat="1" applyFont="1" applyBorder="1"/>
    <xf numFmtId="0" fontId="26" fillId="0" borderId="5" xfId="0" applyFont="1" applyBorder="1"/>
    <xf numFmtId="0" fontId="29" fillId="0" borderId="5" xfId="0" applyFont="1" applyBorder="1"/>
    <xf numFmtId="166" fontId="13" fillId="4" borderId="9" xfId="0" applyNumberFormat="1" applyFont="1" applyFill="1" applyBorder="1"/>
    <xf numFmtId="166" fontId="25" fillId="0" borderId="5" xfId="0" applyNumberFormat="1" applyFont="1" applyBorder="1"/>
    <xf numFmtId="9" fontId="13" fillId="0" borderId="5" xfId="0" applyNumberFormat="1" applyFont="1" applyBorder="1" applyAlignment="1">
      <alignment horizontal="right"/>
    </xf>
    <xf numFmtId="166" fontId="11" fillId="0" borderId="5" xfId="0" applyNumberFormat="1" applyFont="1" applyBorder="1"/>
    <xf numFmtId="167" fontId="30" fillId="0" borderId="5" xfId="0" applyNumberFormat="1" applyFont="1" applyBorder="1"/>
    <xf numFmtId="167" fontId="11" fillId="0" borderId="5" xfId="0" applyNumberFormat="1" applyFont="1" applyBorder="1"/>
    <xf numFmtId="172" fontId="10" fillId="0" borderId="5" xfId="0" applyNumberFormat="1" applyFont="1" applyBorder="1"/>
    <xf numFmtId="171" fontId="12" fillId="8" borderId="9" xfId="0" applyNumberFormat="1" applyFont="1" applyFill="1" applyBorder="1"/>
    <xf numFmtId="0" fontId="9" fillId="7" borderId="9" xfId="0" applyFont="1" applyFill="1" applyBorder="1"/>
    <xf numFmtId="167" fontId="22" fillId="9" borderId="9" xfId="0" applyNumberFormat="1" applyFont="1" applyFill="1" applyBorder="1"/>
    <xf numFmtId="168" fontId="13" fillId="0" borderId="5" xfId="0" applyNumberFormat="1" applyFont="1" applyBorder="1" applyAlignment="1">
      <alignment horizontal="right"/>
    </xf>
    <xf numFmtId="172" fontId="33" fillId="0" borderId="0" xfId="1" applyNumberFormat="1" applyFont="1" applyAlignment="1">
      <alignment vertical="center"/>
    </xf>
    <xf numFmtId="172" fontId="7" fillId="0" borderId="0" xfId="1" applyNumberFormat="1" applyFont="1" applyAlignment="1">
      <alignment vertical="center"/>
    </xf>
    <xf numFmtId="172" fontId="6" fillId="0" borderId="0" xfId="1" applyNumberFormat="1" applyFont="1" applyAlignment="1">
      <alignment vertical="center"/>
    </xf>
    <xf numFmtId="166" fontId="10" fillId="10" borderId="0" xfId="0" applyNumberFormat="1" applyFont="1" applyFill="1"/>
    <xf numFmtId="9" fontId="35" fillId="0" borderId="11" xfId="2" applyFont="1" applyBorder="1" applyAlignment="1" applyProtection="1">
      <alignment horizontal="center" vertical="center"/>
      <protection locked="0"/>
    </xf>
    <xf numFmtId="9" fontId="35" fillId="0" borderId="9" xfId="2" applyFont="1" applyAlignment="1" applyProtection="1">
      <alignment horizontal="center" vertical="center"/>
      <protection locked="0"/>
    </xf>
    <xf numFmtId="175" fontId="35" fillId="0" borderId="12" xfId="3" applyNumberFormat="1" applyFont="1" applyBorder="1" applyAlignment="1" applyProtection="1">
      <alignment horizontal="center" vertical="center"/>
      <protection locked="0"/>
    </xf>
    <xf numFmtId="166" fontId="36" fillId="0" borderId="0" xfId="0" applyNumberFormat="1" applyFont="1"/>
    <xf numFmtId="172" fontId="5" fillId="10" borderId="9" xfId="3" applyNumberFormat="1" applyFont="1" applyFill="1" applyAlignment="1">
      <alignment vertical="center"/>
    </xf>
    <xf numFmtId="172" fontId="5" fillId="0" borderId="9" xfId="3" applyNumberFormat="1" applyFont="1" applyAlignment="1">
      <alignment vertical="center"/>
    </xf>
    <xf numFmtId="172" fontId="33" fillId="0" borderId="9" xfId="3" applyNumberFormat="1" applyFont="1" applyAlignment="1">
      <alignment vertical="center"/>
    </xf>
    <xf numFmtId="172" fontId="5" fillId="0" borderId="12" xfId="3" applyNumberFormat="1" applyFont="1" applyBorder="1" applyAlignment="1">
      <alignment vertical="center"/>
    </xf>
    <xf numFmtId="172" fontId="4" fillId="0" borderId="9" xfId="3" applyNumberFormat="1" applyFont="1" applyAlignment="1">
      <alignment vertical="center"/>
    </xf>
    <xf numFmtId="41" fontId="7" fillId="0" borderId="0" xfId="1" applyNumberFormat="1" applyFont="1"/>
    <xf numFmtId="3" fontId="3" fillId="0" borderId="11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3" fillId="0" borderId="12" xfId="0" applyNumberFormat="1" applyFont="1" applyBorder="1" applyAlignment="1">
      <alignment horizontal="center" vertical="center"/>
    </xf>
    <xf numFmtId="9" fontId="3" fillId="0" borderId="11" xfId="2" applyFont="1" applyBorder="1" applyAlignment="1">
      <alignment horizontal="center" vertical="center"/>
    </xf>
    <xf numFmtId="9" fontId="3" fillId="0" borderId="9" xfId="2" applyFont="1" applyBorder="1" applyAlignment="1">
      <alignment horizontal="center" vertical="center"/>
    </xf>
    <xf numFmtId="9" fontId="3" fillId="0" borderId="12" xfId="2" applyFont="1" applyBorder="1" applyAlignment="1">
      <alignment horizontal="center" vertical="center"/>
    </xf>
    <xf numFmtId="168" fontId="3" fillId="0" borderId="11" xfId="2" applyNumberFormat="1" applyFont="1" applyBorder="1" applyAlignment="1">
      <alignment horizontal="center" vertical="center"/>
    </xf>
    <xf numFmtId="168" fontId="3" fillId="0" borderId="9" xfId="2" applyNumberFormat="1" applyFont="1" applyBorder="1" applyAlignment="1">
      <alignment horizontal="center" vertical="center"/>
    </xf>
    <xf numFmtId="168" fontId="3" fillId="0" borderId="12" xfId="2" applyNumberFormat="1" applyFont="1" applyBorder="1" applyAlignment="1">
      <alignment horizontal="center" vertical="center"/>
    </xf>
    <xf numFmtId="168" fontId="37" fillId="0" borderId="11" xfId="2" applyNumberFormat="1" applyFont="1" applyFill="1" applyBorder="1" applyAlignment="1" applyProtection="1">
      <alignment horizontal="right" vertical="center"/>
      <protection locked="0"/>
    </xf>
    <xf numFmtId="168" fontId="37" fillId="0" borderId="9" xfId="2" applyNumberFormat="1" applyFont="1" applyFill="1" applyBorder="1" applyAlignment="1" applyProtection="1">
      <alignment horizontal="right" vertical="center"/>
      <protection locked="0"/>
    </xf>
    <xf numFmtId="176" fontId="37" fillId="0" borderId="9" xfId="3" applyNumberFormat="1" applyFont="1" applyFill="1" applyBorder="1" applyAlignment="1" applyProtection="1">
      <alignment horizontal="right" vertical="center"/>
      <protection locked="0"/>
    </xf>
    <xf numFmtId="176" fontId="37" fillId="0" borderId="9" xfId="3" applyNumberFormat="1" applyFont="1" applyFill="1" applyAlignment="1" applyProtection="1">
      <alignment horizontal="right" vertical="center"/>
      <protection locked="0"/>
    </xf>
    <xf numFmtId="172" fontId="2" fillId="0" borderId="9" xfId="3" applyNumberFormat="1" applyFont="1" applyAlignment="1">
      <alignment vertical="center"/>
    </xf>
    <xf numFmtId="166" fontId="10" fillId="0" borderId="9" xfId="0" applyNumberFormat="1" applyFont="1" applyBorder="1"/>
    <xf numFmtId="166" fontId="10" fillId="0" borderId="0" xfId="0" applyNumberFormat="1" applyFont="1" applyAlignment="1">
      <alignment horizontal="center" vertical="center"/>
    </xf>
    <xf numFmtId="4" fontId="12" fillId="8" borderId="9" xfId="0" applyNumberFormat="1" applyFont="1" applyFill="1" applyBorder="1"/>
    <xf numFmtId="166" fontId="13" fillId="0" borderId="0" xfId="0" applyNumberFormat="1" applyFont="1" applyAlignment="1">
      <alignment horizontal="right" vertical="top"/>
    </xf>
    <xf numFmtId="172" fontId="10" fillId="0" borderId="0" xfId="0" applyNumberFormat="1" applyFont="1" applyAlignment="1">
      <alignment horizontal="right" vertical="top" indent="1"/>
    </xf>
    <xf numFmtId="166" fontId="10" fillId="0" borderId="0" xfId="0" applyNumberFormat="1" applyFont="1" applyAlignment="1">
      <alignment horizontal="right" indent="1"/>
    </xf>
    <xf numFmtId="166" fontId="12" fillId="0" borderId="13" xfId="0" applyNumberFormat="1" applyFont="1" applyBorder="1"/>
    <xf numFmtId="166" fontId="38" fillId="0" borderId="0" xfId="0" applyNumberFormat="1" applyFont="1"/>
    <xf numFmtId="166" fontId="38" fillId="0" borderId="5" xfId="0" applyNumberFormat="1" applyFont="1" applyBorder="1"/>
    <xf numFmtId="164" fontId="38" fillId="0" borderId="5" xfId="0" applyNumberFormat="1" applyFont="1" applyBorder="1"/>
    <xf numFmtId="164" fontId="38" fillId="0" borderId="0" xfId="0" applyNumberFormat="1" applyFont="1"/>
    <xf numFmtId="164" fontId="38" fillId="0" borderId="0" xfId="0" applyNumberFormat="1" applyFont="1" applyAlignment="1">
      <alignment horizontal="right"/>
    </xf>
    <xf numFmtId="167" fontId="39" fillId="0" borderId="5" xfId="0" applyNumberFormat="1" applyFont="1" applyBorder="1"/>
    <xf numFmtId="9" fontId="20" fillId="0" borderId="14" xfId="0" applyNumberFormat="1" applyFont="1" applyBorder="1"/>
    <xf numFmtId="9" fontId="13" fillId="0" borderId="14" xfId="0" applyNumberFormat="1" applyFont="1" applyBorder="1" applyAlignment="1">
      <alignment horizontal="right"/>
    </xf>
    <xf numFmtId="9" fontId="10" fillId="0" borderId="14" xfId="0" applyNumberFormat="1" applyFont="1" applyBorder="1" applyAlignment="1">
      <alignment horizontal="right"/>
    </xf>
    <xf numFmtId="166" fontId="13" fillId="0" borderId="14" xfId="0" applyNumberFormat="1" applyFont="1" applyBorder="1"/>
    <xf numFmtId="166" fontId="10" fillId="0" borderId="14" xfId="0" applyNumberFormat="1" applyFont="1" applyBorder="1" applyAlignment="1">
      <alignment horizontal="center"/>
    </xf>
    <xf numFmtId="166" fontId="10" fillId="0" borderId="14" xfId="0" applyNumberFormat="1" applyFont="1" applyBorder="1"/>
    <xf numFmtId="171" fontId="13" fillId="0" borderId="14" xfId="0" applyNumberFormat="1" applyFont="1" applyBorder="1"/>
    <xf numFmtId="171" fontId="10" fillId="0" borderId="14" xfId="0" applyNumberFormat="1" applyFont="1" applyBorder="1"/>
    <xf numFmtId="166" fontId="38" fillId="0" borderId="5" xfId="0" applyNumberFormat="1" applyFont="1" applyBorder="1" applyAlignment="1">
      <alignment horizontal="right"/>
    </xf>
    <xf numFmtId="177" fontId="10" fillId="0" borderId="14" xfId="0" applyNumberFormat="1" applyFont="1" applyBorder="1"/>
    <xf numFmtId="166" fontId="10" fillId="0" borderId="11" xfId="0" applyNumberFormat="1" applyFont="1" applyBorder="1"/>
    <xf numFmtId="166" fontId="10" fillId="0" borderId="12" xfId="0" applyNumberFormat="1" applyFont="1" applyBorder="1"/>
    <xf numFmtId="3" fontId="10" fillId="0" borderId="0" xfId="0" applyNumberFormat="1" applyFont="1"/>
    <xf numFmtId="172" fontId="38" fillId="0" borderId="0" xfId="0" applyNumberFormat="1" applyFont="1"/>
    <xf numFmtId="172" fontId="1" fillId="0" borderId="9" xfId="3" applyNumberFormat="1" applyFont="1" applyAlignment="1">
      <alignment vertical="center"/>
    </xf>
    <xf numFmtId="166" fontId="38" fillId="0" borderId="0" xfId="0" applyNumberFormat="1" applyFont="1" applyAlignment="1">
      <alignment horizontal="center"/>
    </xf>
    <xf numFmtId="166" fontId="12" fillId="4" borderId="9" xfId="0" applyNumberFormat="1" applyFont="1" applyFill="1" applyBorder="1" applyAlignment="1">
      <alignment horizontal="center"/>
    </xf>
    <xf numFmtId="0" fontId="19" fillId="0" borderId="9" xfId="0" applyFont="1" applyBorder="1"/>
    <xf numFmtId="166" fontId="10" fillId="0" borderId="0" xfId="0" applyNumberFormat="1" applyFont="1" applyAlignment="1">
      <alignment horizontal="center"/>
    </xf>
    <xf numFmtId="0" fontId="0" fillId="0" borderId="0" xfId="0"/>
    <xf numFmtId="166" fontId="22" fillId="2" borderId="9" xfId="0" applyNumberFormat="1" applyFont="1" applyFill="1" applyBorder="1" applyAlignment="1">
      <alignment horizontal="center"/>
    </xf>
    <xf numFmtId="166" fontId="22" fillId="7" borderId="9" xfId="0" applyNumberFormat="1" applyFont="1" applyFill="1" applyBorder="1" applyAlignment="1">
      <alignment horizontal="center"/>
    </xf>
    <xf numFmtId="166" fontId="31" fillId="9" borderId="9" xfId="0" applyNumberFormat="1" applyFont="1" applyFill="1" applyBorder="1" applyAlignment="1">
      <alignment horizontal="center"/>
    </xf>
  </cellXfs>
  <cellStyles count="4">
    <cellStyle name="Comma" xfId="1" builtinId="3"/>
    <cellStyle name="Comma 3" xfId="3" xr:uid="{C7A6FCD5-F5AA-447E-B25F-7F220C3DC2E5}"/>
    <cellStyle name="Normal" xfId="0" builtinId="0"/>
    <cellStyle name="Percent 3" xfId="2" xr:uid="{C883B154-C074-46E5-B85B-8776527E6D75}"/>
  </cellStyles>
  <dxfs count="26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333375</xdr:colOff>
      <xdr:row>172</xdr:row>
      <xdr:rowOff>47625</xdr:rowOff>
    </xdr:from>
    <xdr:ext cx="98107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4860225" y="3603788"/>
          <a:ext cx="971550" cy="352425"/>
        </a:xfrm>
        <a:prstGeom prst="downArrow">
          <a:avLst>
            <a:gd name="adj1" fmla="val 50000"/>
            <a:gd name="adj2" fmla="val 50000"/>
          </a:avLst>
        </a:prstGeom>
        <a:solidFill>
          <a:srgbClr val="132E57"/>
        </a:solidFill>
        <a:ln>
          <a:noFill/>
        </a:ln>
      </xdr:spPr>
      <xdr:txBody>
        <a:bodyPr spcFirstLastPara="1" wrap="square" lIns="18275" tIns="0" rIns="0" bIns="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390525</xdr:colOff>
      <xdr:row>172</xdr:row>
      <xdr:rowOff>38100</xdr:rowOff>
    </xdr:from>
    <xdr:ext cx="981075" cy="3619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860225" y="3603788"/>
          <a:ext cx="971550" cy="352425"/>
        </a:xfrm>
        <a:prstGeom prst="downArrow">
          <a:avLst>
            <a:gd name="adj1" fmla="val 50000"/>
            <a:gd name="adj2" fmla="val 50000"/>
          </a:avLst>
        </a:prstGeom>
        <a:solidFill>
          <a:srgbClr val="132E57"/>
        </a:solidFill>
        <a:ln>
          <a:noFill/>
        </a:ln>
      </xdr:spPr>
      <xdr:txBody>
        <a:bodyPr spcFirstLastPara="1" wrap="square" lIns="18275" tIns="0" rIns="0" bIns="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130" workbookViewId="0">
      <selection activeCell="G139" sqref="G139"/>
    </sheetView>
  </sheetViews>
  <sheetFormatPr defaultColWidth="12.5703125" defaultRowHeight="15" customHeight="1" outlineLevelRow="1" x14ac:dyDescent="0.2"/>
  <cols>
    <col min="1" max="1" width="15.5703125" customWidth="1"/>
    <col min="2" max="7" width="14.42578125" customWidth="1"/>
    <col min="8" max="8" width="15.7109375" customWidth="1"/>
    <col min="9" max="13" width="14.42578125" customWidth="1"/>
    <col min="14" max="26" width="9.140625" customWidth="1"/>
  </cols>
  <sheetData>
    <row r="1" spans="1:26" ht="21" customHeight="1" x14ac:dyDescent="0.35">
      <c r="A1" s="83" t="str">
        <f>"Merger Assumptions for "&amp;D6&amp;" &amp; "&amp;D7</f>
        <v>Merger Assumptions for Online Company Inc &amp; Brick 'n' Mortar Co</v>
      </c>
      <c r="B1" s="84"/>
      <c r="C1" s="85"/>
      <c r="D1" s="85"/>
      <c r="E1" s="85"/>
      <c r="F1" s="85"/>
      <c r="G1" s="85"/>
      <c r="H1" s="85"/>
      <c r="I1" s="85"/>
      <c r="J1" s="86"/>
      <c r="K1" s="87"/>
      <c r="L1" s="87"/>
      <c r="M1" s="87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x14ac:dyDescent="0.25">
      <c r="A2" s="1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 x14ac:dyDescent="0.35">
      <c r="A3" s="88" t="s">
        <v>0</v>
      </c>
      <c r="B3" s="89"/>
      <c r="C3" s="90"/>
      <c r="D3" s="89"/>
      <c r="E3" s="89"/>
      <c r="F3" s="89"/>
      <c r="G3" s="89"/>
      <c r="H3" s="89"/>
      <c r="I3" s="89"/>
      <c r="J3" s="89"/>
      <c r="K3" s="89"/>
      <c r="L3" s="89"/>
      <c r="M3" s="89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outlineLevel="1" x14ac:dyDescent="0.25">
      <c r="A4" s="1"/>
      <c r="B4" s="1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outlineLevel="1" x14ac:dyDescent="0.25">
      <c r="A5" s="91" t="s">
        <v>1</v>
      </c>
      <c r="B5" s="92"/>
      <c r="C5" s="93"/>
      <c r="D5" s="92"/>
      <c r="E5" s="1"/>
      <c r="F5" s="91" t="s">
        <v>2</v>
      </c>
      <c r="G5" s="92"/>
      <c r="H5" s="92"/>
      <c r="I5" s="92"/>
      <c r="J5" s="92"/>
      <c r="K5" s="92"/>
      <c r="L5" s="92"/>
      <c r="M5" s="9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outlineLevel="1" x14ac:dyDescent="0.25">
      <c r="A6" s="1" t="s">
        <v>3</v>
      </c>
      <c r="B6" s="1"/>
      <c r="C6" s="2"/>
      <c r="D6" s="4" t="s">
        <v>4</v>
      </c>
      <c r="E6" s="1"/>
      <c r="F6" s="5" t="s">
        <v>5</v>
      </c>
      <c r="G6" s="6" t="s">
        <v>6</v>
      </c>
      <c r="H6" s="7">
        <v>1</v>
      </c>
      <c r="I6" s="8">
        <v>1</v>
      </c>
      <c r="J6" s="8">
        <f t="shared" ref="J6:M6" si="0">+I6+1</f>
        <v>2</v>
      </c>
      <c r="K6" s="8">
        <f t="shared" si="0"/>
        <v>3</v>
      </c>
      <c r="L6" s="8">
        <f t="shared" si="0"/>
        <v>4</v>
      </c>
      <c r="M6" s="8">
        <f t="shared" si="0"/>
        <v>5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outlineLevel="1" x14ac:dyDescent="0.25">
      <c r="A7" s="9" t="s">
        <v>7</v>
      </c>
      <c r="B7" s="9"/>
      <c r="C7" s="10"/>
      <c r="D7" s="11" t="s">
        <v>8</v>
      </c>
      <c r="E7" s="1"/>
      <c r="F7" s="1"/>
      <c r="G7" s="1"/>
      <c r="H7" s="1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outlineLevel="1" x14ac:dyDescent="0.25">
      <c r="A8" s="1" t="s">
        <v>9</v>
      </c>
      <c r="B8" s="1"/>
      <c r="C8" s="12"/>
      <c r="D8" s="13">
        <v>11.75</v>
      </c>
      <c r="E8" s="1"/>
      <c r="F8" s="14" t="s">
        <v>10</v>
      </c>
      <c r="G8" s="1"/>
      <c r="H8" s="1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outlineLevel="1" x14ac:dyDescent="0.25">
      <c r="A9" s="1" t="s">
        <v>11</v>
      </c>
      <c r="B9" s="1"/>
      <c r="C9" s="12"/>
      <c r="D9" s="13">
        <v>17.3</v>
      </c>
      <c r="E9" s="1"/>
      <c r="F9" s="94" t="s">
        <v>12</v>
      </c>
      <c r="G9" s="94"/>
      <c r="H9" s="154">
        <v>5500</v>
      </c>
      <c r="I9" s="154">
        <v>6000</v>
      </c>
      <c r="J9" s="154">
        <v>6000</v>
      </c>
      <c r="K9" s="154">
        <v>6500</v>
      </c>
      <c r="L9" s="154">
        <v>6500</v>
      </c>
      <c r="M9" s="95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outlineLevel="1" x14ac:dyDescent="0.25">
      <c r="A10" s="1" t="s">
        <v>13</v>
      </c>
      <c r="B10" s="1"/>
      <c r="C10" s="2"/>
      <c r="D10" s="15">
        <v>45838</v>
      </c>
      <c r="E10" s="1"/>
      <c r="F10" s="1" t="s">
        <v>14</v>
      </c>
      <c r="G10" s="1"/>
      <c r="H10" s="155">
        <v>875</v>
      </c>
      <c r="I10" s="155">
        <v>875</v>
      </c>
      <c r="J10" s="155">
        <v>875</v>
      </c>
      <c r="K10" s="155">
        <v>875</v>
      </c>
      <c r="L10" s="155">
        <v>875</v>
      </c>
      <c r="M10" s="8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outlineLevel="1" x14ac:dyDescent="0.25">
      <c r="A11" s="1" t="s">
        <v>15</v>
      </c>
      <c r="B11" s="1"/>
      <c r="C11" s="2"/>
      <c r="D11" s="4" t="s">
        <v>16</v>
      </c>
      <c r="E11" s="1"/>
      <c r="F11" s="1" t="s">
        <v>17</v>
      </c>
      <c r="G11" s="1"/>
      <c r="H11" s="155">
        <v>1250</v>
      </c>
      <c r="I11" s="155">
        <v>1250</v>
      </c>
      <c r="J11" s="155">
        <v>1250</v>
      </c>
      <c r="K11" s="155">
        <v>1250</v>
      </c>
      <c r="L11" s="155">
        <v>1250</v>
      </c>
      <c r="M11" s="8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outlineLevel="1" x14ac:dyDescent="0.25">
      <c r="A12" s="1" t="s">
        <v>18</v>
      </c>
      <c r="B12" s="1"/>
      <c r="C12" s="2"/>
      <c r="D12" s="4" t="s">
        <v>19</v>
      </c>
      <c r="E12" s="1"/>
      <c r="F12" s="16" t="s">
        <v>20</v>
      </c>
      <c r="G12" s="1"/>
      <c r="H12" s="156">
        <v>1000</v>
      </c>
      <c r="I12" s="156">
        <v>1000</v>
      </c>
      <c r="J12" s="156">
        <v>1000</v>
      </c>
      <c r="K12" s="156">
        <v>1000</v>
      </c>
      <c r="L12" s="156">
        <v>1000</v>
      </c>
      <c r="M12" s="8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outlineLevel="1" x14ac:dyDescent="0.25">
      <c r="A13" s="1"/>
      <c r="B13" s="1"/>
      <c r="C13" s="2"/>
      <c r="D13" s="1"/>
      <c r="E13" s="1"/>
      <c r="F13" s="1"/>
      <c r="G13" s="1"/>
      <c r="H13" s="9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outlineLevel="1" x14ac:dyDescent="0.25">
      <c r="A14" s="1" t="s">
        <v>21</v>
      </c>
      <c r="B14" s="1"/>
      <c r="C14" s="2"/>
      <c r="D14" s="8">
        <v>2000</v>
      </c>
      <c r="E14" s="1"/>
      <c r="F14" s="1" t="s">
        <v>22</v>
      </c>
      <c r="G14" s="1"/>
      <c r="H14" s="157">
        <v>0.3</v>
      </c>
      <c r="I14" s="157">
        <v>0.3</v>
      </c>
      <c r="J14" s="157">
        <v>0.3</v>
      </c>
      <c r="K14" s="157">
        <v>0.3</v>
      </c>
      <c r="L14" s="157">
        <v>0.3</v>
      </c>
      <c r="M14" s="17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outlineLevel="1" x14ac:dyDescent="0.25">
      <c r="A15" s="1" t="s">
        <v>23</v>
      </c>
      <c r="B15" s="1"/>
      <c r="C15" s="2"/>
      <c r="D15" s="18">
        <v>0.03</v>
      </c>
      <c r="E15" s="1"/>
      <c r="F15" s="1" t="s">
        <v>24</v>
      </c>
      <c r="G15" s="1"/>
      <c r="H15" s="158">
        <v>0.65</v>
      </c>
      <c r="I15" s="158">
        <v>0.65</v>
      </c>
      <c r="J15" s="158">
        <v>0.65</v>
      </c>
      <c r="K15" s="158">
        <v>0.65</v>
      </c>
      <c r="L15" s="158">
        <v>0.65</v>
      </c>
      <c r="M15" s="17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outlineLevel="1" x14ac:dyDescent="0.25">
      <c r="A16" s="1" t="s">
        <v>25</v>
      </c>
      <c r="B16" s="1"/>
      <c r="C16" s="2"/>
      <c r="D16" s="18">
        <v>0.03</v>
      </c>
      <c r="E16" s="1"/>
      <c r="F16" s="1" t="s">
        <v>26</v>
      </c>
      <c r="G16" s="1"/>
      <c r="H16" s="159">
        <v>1</v>
      </c>
      <c r="I16" s="159">
        <v>1</v>
      </c>
      <c r="J16" s="159">
        <v>1</v>
      </c>
      <c r="K16" s="159">
        <v>1</v>
      </c>
      <c r="L16" s="159">
        <v>1</v>
      </c>
      <c r="M16" s="17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outlineLevel="1" x14ac:dyDescent="0.25">
      <c r="A17" s="1" t="s">
        <v>27</v>
      </c>
      <c r="B17" s="1"/>
      <c r="C17" s="2"/>
      <c r="D17" s="8">
        <v>2000</v>
      </c>
      <c r="E17" s="1"/>
      <c r="F17" s="1"/>
      <c r="G17" s="1"/>
      <c r="H17" s="1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outlineLevel="1" x14ac:dyDescent="0.25">
      <c r="A18" s="1"/>
      <c r="B18" s="1"/>
      <c r="C18" s="2"/>
      <c r="D18" s="8"/>
      <c r="E18" s="1"/>
      <c r="F18" s="14" t="s">
        <v>28</v>
      </c>
      <c r="G18" s="1"/>
      <c r="H18" s="1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outlineLevel="1" x14ac:dyDescent="0.25">
      <c r="A19" s="1" t="s">
        <v>29</v>
      </c>
      <c r="B19" s="1"/>
      <c r="C19" s="2"/>
      <c r="D19" s="4" t="s">
        <v>30</v>
      </c>
      <c r="E19" s="1"/>
      <c r="F19" s="97" t="s">
        <v>31</v>
      </c>
      <c r="G19" s="94"/>
      <c r="H19" s="19"/>
      <c r="I19" s="94"/>
      <c r="J19" s="94"/>
      <c r="K19" s="94"/>
      <c r="L19" s="94"/>
      <c r="M19" s="9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outlineLevel="1" x14ac:dyDescent="0.25">
      <c r="A20" s="1" t="s">
        <v>32</v>
      </c>
      <c r="B20" s="1"/>
      <c r="C20" s="2"/>
      <c r="D20" s="4" t="s">
        <v>33</v>
      </c>
      <c r="E20" s="1"/>
      <c r="F20" s="1" t="s">
        <v>34</v>
      </c>
      <c r="G20" s="1"/>
      <c r="H20" s="154">
        <v>0</v>
      </c>
      <c r="I20" s="154">
        <v>100000</v>
      </c>
      <c r="J20" s="154">
        <v>100000</v>
      </c>
      <c r="K20" s="154">
        <v>100000</v>
      </c>
      <c r="L20" s="154">
        <v>100000</v>
      </c>
      <c r="M20" s="8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outlineLevel="1" x14ac:dyDescent="0.25">
      <c r="A21" s="1"/>
      <c r="B21" s="1"/>
      <c r="C21" s="2"/>
      <c r="D21" s="8"/>
      <c r="E21" s="1"/>
      <c r="F21" s="1" t="s">
        <v>35</v>
      </c>
      <c r="G21" s="1"/>
      <c r="H21" s="155">
        <v>0</v>
      </c>
      <c r="I21" s="155">
        <v>0</v>
      </c>
      <c r="J21" s="155">
        <v>50000</v>
      </c>
      <c r="K21" s="155">
        <v>50000</v>
      </c>
      <c r="L21" s="155">
        <v>50000</v>
      </c>
      <c r="M21" s="8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outlineLevel="1" x14ac:dyDescent="0.25">
      <c r="A22" s="1" t="s">
        <v>36</v>
      </c>
      <c r="B22" s="1"/>
      <c r="C22" s="2"/>
      <c r="D22" s="8">
        <v>50000</v>
      </c>
      <c r="E22" s="1"/>
      <c r="F22" s="1" t="s">
        <v>37</v>
      </c>
      <c r="G22" s="1"/>
      <c r="H22" s="156">
        <v>0</v>
      </c>
      <c r="I22" s="156">
        <v>0</v>
      </c>
      <c r="J22" s="156">
        <v>0</v>
      </c>
      <c r="K22" s="156">
        <v>25000</v>
      </c>
      <c r="L22" s="156">
        <v>25000</v>
      </c>
      <c r="M22" s="8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outlineLevel="1" x14ac:dyDescent="0.25">
      <c r="A23" s="1" t="s">
        <v>38</v>
      </c>
      <c r="B23" s="1"/>
      <c r="C23" s="2"/>
      <c r="D23" s="8">
        <v>25000</v>
      </c>
      <c r="E23" s="1"/>
      <c r="F23" s="14" t="s">
        <v>39</v>
      </c>
      <c r="G23" s="1"/>
      <c r="H23" s="96"/>
      <c r="I23" s="8"/>
      <c r="J23" s="8"/>
      <c r="K23" s="8"/>
      <c r="L23" s="8"/>
      <c r="M23" s="8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outlineLevel="1" x14ac:dyDescent="0.25">
      <c r="A24" s="1" t="s">
        <v>40</v>
      </c>
      <c r="B24" s="1"/>
      <c r="C24" s="2"/>
      <c r="D24" s="1">
        <f>D39*D37</f>
        <v>46000</v>
      </c>
      <c r="E24" s="1"/>
      <c r="F24" s="1" t="s">
        <v>34</v>
      </c>
      <c r="G24" s="1"/>
      <c r="H24" s="160">
        <v>5.5E-2</v>
      </c>
      <c r="I24" s="160">
        <v>5.5E-2</v>
      </c>
      <c r="J24" s="160">
        <v>5.5E-2</v>
      </c>
      <c r="K24" s="160">
        <v>5.5E-2</v>
      </c>
      <c r="L24" s="160">
        <v>5.5E-2</v>
      </c>
      <c r="M24" s="20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outlineLevel="1" x14ac:dyDescent="0.25">
      <c r="A25" s="1" t="s">
        <v>41</v>
      </c>
      <c r="B25" s="1"/>
      <c r="C25" s="2"/>
      <c r="D25" s="1">
        <f>D22+D24</f>
        <v>96000</v>
      </c>
      <c r="E25" s="1"/>
      <c r="F25" s="1" t="s">
        <v>35</v>
      </c>
      <c r="G25" s="1"/>
      <c r="H25" s="161">
        <v>5.7500000000000002E-2</v>
      </c>
      <c r="I25" s="161">
        <v>5.7500000000000002E-2</v>
      </c>
      <c r="J25" s="161">
        <v>5.7500000000000002E-2</v>
      </c>
      <c r="K25" s="161">
        <v>5.7500000000000002E-2</v>
      </c>
      <c r="L25" s="161">
        <v>5.7500000000000002E-2</v>
      </c>
      <c r="M25" s="20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outlineLevel="1" x14ac:dyDescent="0.25">
      <c r="A26" s="1"/>
      <c r="B26" s="1"/>
      <c r="C26" s="2"/>
      <c r="D26" s="1"/>
      <c r="E26" s="1"/>
      <c r="F26" s="1" t="s">
        <v>37</v>
      </c>
      <c r="G26" s="1"/>
      <c r="H26" s="162">
        <v>8.2500000000000004E-2</v>
      </c>
      <c r="I26" s="162">
        <v>8.2500000000000004E-2</v>
      </c>
      <c r="J26" s="162">
        <v>8.2500000000000004E-2</v>
      </c>
      <c r="K26" s="162">
        <v>8.2500000000000004E-2</v>
      </c>
      <c r="L26" s="162">
        <v>8.2500000000000004E-2</v>
      </c>
      <c r="M26" s="20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outlineLevel="1" x14ac:dyDescent="0.25">
      <c r="A27" s="1" t="s">
        <v>42</v>
      </c>
      <c r="B27" s="1"/>
      <c r="C27" s="2"/>
      <c r="D27" s="18">
        <v>0.01</v>
      </c>
      <c r="E27" s="1"/>
      <c r="F27" s="14"/>
      <c r="G27" s="1"/>
      <c r="H27" s="9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outlineLevel="1" x14ac:dyDescent="0.25">
      <c r="A28" s="1" t="s">
        <v>43</v>
      </c>
      <c r="B28" s="1"/>
      <c r="C28" s="2"/>
      <c r="D28" s="21">
        <f>D8*(1-D27)</f>
        <v>11.6325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outlineLevel="1" x14ac:dyDescent="0.25">
      <c r="A29" s="1"/>
      <c r="B29" s="1"/>
      <c r="C29" s="2"/>
      <c r="D29" s="1"/>
      <c r="E29" s="1"/>
      <c r="F29" s="14" t="s">
        <v>44</v>
      </c>
      <c r="G29" s="1"/>
      <c r="H29" s="1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outlineLevel="1" x14ac:dyDescent="0.25">
      <c r="A30" s="1"/>
      <c r="B30" s="1"/>
      <c r="C30" s="2"/>
      <c r="D30" s="1"/>
      <c r="E30" s="1"/>
      <c r="F30" s="94" t="s">
        <v>45</v>
      </c>
      <c r="G30" s="94"/>
      <c r="H30" s="157">
        <v>0.15</v>
      </c>
      <c r="I30" s="157">
        <v>0.15</v>
      </c>
      <c r="J30" s="157">
        <v>0.2</v>
      </c>
      <c r="K30" s="157">
        <v>0.25</v>
      </c>
      <c r="L30" s="157">
        <v>0.3</v>
      </c>
      <c r="M30" s="99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outlineLevel="1" x14ac:dyDescent="0.25">
      <c r="A31" s="91" t="s">
        <v>46</v>
      </c>
      <c r="B31" s="92"/>
      <c r="C31" s="93"/>
      <c r="D31" s="92"/>
      <c r="E31" s="1"/>
      <c r="F31" s="1" t="s">
        <v>47</v>
      </c>
      <c r="G31" s="1"/>
      <c r="H31" s="159">
        <v>0</v>
      </c>
      <c r="I31" s="159">
        <v>0.2</v>
      </c>
      <c r="J31" s="159">
        <v>0.4</v>
      </c>
      <c r="K31" s="159">
        <v>0.5</v>
      </c>
      <c r="L31" s="159">
        <v>0.55000000000000004</v>
      </c>
      <c r="M31" s="18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outlineLevel="1" x14ac:dyDescent="0.25">
      <c r="A32" s="1" t="s">
        <v>11</v>
      </c>
      <c r="B32" s="1"/>
      <c r="C32" s="2"/>
      <c r="D32" s="21">
        <f>+D9</f>
        <v>17.3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outlineLevel="1" x14ac:dyDescent="0.25">
      <c r="A33" s="1" t="s">
        <v>45</v>
      </c>
      <c r="B33" s="1"/>
      <c r="C33" s="2"/>
      <c r="D33" s="22">
        <f>+H30</f>
        <v>0.15</v>
      </c>
      <c r="E33" s="1"/>
      <c r="F33" s="1"/>
      <c r="G33" s="1"/>
      <c r="H33" s="1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outlineLevel="1" x14ac:dyDescent="0.25">
      <c r="A34" s="94" t="s">
        <v>48</v>
      </c>
      <c r="B34" s="94"/>
      <c r="C34" s="100"/>
      <c r="D34" s="101">
        <f>D32*(1+D33)</f>
        <v>19.895</v>
      </c>
      <c r="E34" s="1"/>
      <c r="F34" s="1"/>
      <c r="G34" s="1"/>
      <c r="H34" s="1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outlineLevel="1" x14ac:dyDescent="0.25">
      <c r="A35" s="1"/>
      <c r="B35" s="1"/>
      <c r="C35" s="2"/>
      <c r="D35" s="1"/>
      <c r="E35" s="1"/>
      <c r="F35" s="91" t="s">
        <v>49</v>
      </c>
      <c r="G35" s="92"/>
      <c r="H35" s="93"/>
      <c r="I35" s="92"/>
      <c r="J35" s="91"/>
      <c r="K35" s="92"/>
      <c r="L35" s="93"/>
      <c r="M35" s="9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outlineLevel="1" x14ac:dyDescent="0.25">
      <c r="A36" s="1" t="s">
        <v>9</v>
      </c>
      <c r="B36" s="1"/>
      <c r="C36" s="2"/>
      <c r="D36" s="21">
        <f>+D8</f>
        <v>11.75</v>
      </c>
      <c r="E36" s="1"/>
      <c r="F36" s="14" t="s">
        <v>50</v>
      </c>
      <c r="G36" s="1"/>
      <c r="H36" s="1"/>
      <c r="I36" s="9"/>
      <c r="J36" s="9"/>
      <c r="K36" s="14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outlineLevel="1" x14ac:dyDescent="0.25">
      <c r="A37" s="1" t="s">
        <v>51</v>
      </c>
      <c r="B37" s="1"/>
      <c r="C37" s="2"/>
      <c r="D37" s="23">
        <v>1.84</v>
      </c>
      <c r="E37" s="1"/>
      <c r="F37" s="94" t="s">
        <v>52</v>
      </c>
      <c r="G37" s="94"/>
      <c r="H37" s="94"/>
      <c r="I37" s="1">
        <f>M44-SUM(I38:I43)</f>
        <v>7125.2800000000279</v>
      </c>
      <c r="J37" s="1"/>
      <c r="K37" s="94" t="s">
        <v>47</v>
      </c>
      <c r="L37" s="94"/>
      <c r="M37" s="94">
        <f>+D41*H31</f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outlineLevel="1" x14ac:dyDescent="0.25">
      <c r="A38" s="1"/>
      <c r="B38" s="1"/>
      <c r="C38" s="2"/>
      <c r="D38" s="1"/>
      <c r="E38" s="1"/>
      <c r="F38" s="1" t="s">
        <v>53</v>
      </c>
      <c r="G38" s="1"/>
      <c r="H38" s="1"/>
      <c r="I38" s="1">
        <f>+M38</f>
        <v>497375</v>
      </c>
      <c r="J38" s="1"/>
      <c r="K38" s="1" t="s">
        <v>54</v>
      </c>
      <c r="L38" s="1"/>
      <c r="M38" s="1">
        <f>D41-M37</f>
        <v>497375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outlineLevel="1" x14ac:dyDescent="0.25">
      <c r="A39" s="1" t="s">
        <v>55</v>
      </c>
      <c r="B39" s="1"/>
      <c r="C39" s="2"/>
      <c r="D39" s="1">
        <f>+D23</f>
        <v>25000</v>
      </c>
      <c r="E39" s="1"/>
      <c r="F39" s="1" t="s">
        <v>56</v>
      </c>
      <c r="G39" s="1"/>
      <c r="H39" s="1"/>
      <c r="I39" s="1">
        <v>16801</v>
      </c>
      <c r="J39" s="1"/>
      <c r="K39" s="1" t="s">
        <v>57</v>
      </c>
      <c r="L39" s="1"/>
      <c r="M39" s="1">
        <f>+IF(D19="Yes", D42,0)</f>
        <v>6801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outlineLevel="1" x14ac:dyDescent="0.25">
      <c r="A40" s="1" t="s">
        <v>48</v>
      </c>
      <c r="B40" s="1"/>
      <c r="C40" s="2"/>
      <c r="D40" s="21">
        <f>+D34</f>
        <v>19.895</v>
      </c>
      <c r="E40" s="1"/>
      <c r="F40" s="1"/>
      <c r="G40" s="1"/>
      <c r="H40" s="1"/>
      <c r="I40" s="1"/>
      <c r="J40" s="1"/>
      <c r="K40" s="1" t="s">
        <v>58</v>
      </c>
      <c r="L40" s="1"/>
      <c r="M40" s="196" t="s">
        <v>278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outlineLevel="1" x14ac:dyDescent="0.25">
      <c r="A41" s="97" t="s">
        <v>46</v>
      </c>
      <c r="B41" s="97"/>
      <c r="C41" s="102"/>
      <c r="D41" s="97">
        <f>D39*D40</f>
        <v>497375</v>
      </c>
      <c r="E41" s="1"/>
      <c r="F41" s="1"/>
      <c r="G41" s="1"/>
      <c r="H41" s="1"/>
      <c r="I41" s="1"/>
      <c r="J41" s="1"/>
      <c r="K41" s="1" t="s">
        <v>59</v>
      </c>
      <c r="L41" s="1"/>
      <c r="M41" s="1">
        <f>D16*SUM(M39:M40)</f>
        <v>204.03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outlineLevel="1" x14ac:dyDescent="0.25">
      <c r="A42" s="1" t="s">
        <v>60</v>
      </c>
      <c r="B42" s="1"/>
      <c r="C42" s="2"/>
      <c r="D42" s="175">
        <v>6801</v>
      </c>
      <c r="E42" s="1"/>
      <c r="F42" s="1"/>
      <c r="G42" s="1"/>
      <c r="H42" s="1"/>
      <c r="I42" s="1"/>
      <c r="J42" s="1"/>
      <c r="K42" s="1" t="s">
        <v>61</v>
      </c>
      <c r="L42" s="1"/>
      <c r="M42" s="1">
        <f>D15*M38</f>
        <v>14921.25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outlineLevel="1" x14ac:dyDescent="0.25">
      <c r="A43" s="1" t="s">
        <v>62</v>
      </c>
      <c r="B43" s="1"/>
      <c r="C43" s="2"/>
      <c r="D43" s="175">
        <f>+'Target Model'!O81</f>
        <v>254785.31673174491</v>
      </c>
      <c r="E43" s="1"/>
      <c r="F43" s="1"/>
      <c r="G43" s="1"/>
      <c r="H43" s="1"/>
      <c r="I43" s="1"/>
      <c r="J43" s="1"/>
      <c r="K43" s="1" t="s">
        <v>27</v>
      </c>
      <c r="L43" s="1"/>
      <c r="M43" s="1">
        <f>+D17</f>
        <v>2000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outlineLevel="1" x14ac:dyDescent="0.25">
      <c r="A44" s="97" t="s">
        <v>63</v>
      </c>
      <c r="B44" s="97"/>
      <c r="C44" s="102"/>
      <c r="D44" s="97">
        <f>+D41+D42-D43</f>
        <v>249390.68326825509</v>
      </c>
      <c r="E44" s="1"/>
      <c r="F44" s="97" t="s">
        <v>64</v>
      </c>
      <c r="G44" s="97"/>
      <c r="H44" s="97"/>
      <c r="I44" s="94">
        <f>SUM(I37:I43)</f>
        <v>521301.28</v>
      </c>
      <c r="J44" s="1"/>
      <c r="K44" s="97" t="s">
        <v>65</v>
      </c>
      <c r="L44" s="97"/>
      <c r="M44" s="97">
        <f>SUM(M37:M43)</f>
        <v>521301.28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outlineLevel="1" x14ac:dyDescent="0.25">
      <c r="A45" s="1"/>
      <c r="B45" s="1"/>
      <c r="C45" s="2"/>
      <c r="D45" s="1"/>
      <c r="E45" s="1"/>
      <c r="F45" s="1"/>
      <c r="G45" s="1"/>
      <c r="H45" s="1"/>
      <c r="I45" s="25" t="s">
        <v>66</v>
      </c>
      <c r="J45" s="1"/>
      <c r="K45" s="1"/>
      <c r="L45" s="1"/>
      <c r="M45" s="25" t="s">
        <v>66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outlineLevel="1" x14ac:dyDescent="0.25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outlineLevel="1" x14ac:dyDescent="0.25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outlineLevel="1" x14ac:dyDescent="0.25">
      <c r="A48" s="91" t="s">
        <v>67</v>
      </c>
      <c r="B48" s="91"/>
      <c r="C48" s="103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outlineLevel="1" x14ac:dyDescent="0.25">
      <c r="A49" s="14" t="s">
        <v>68</v>
      </c>
      <c r="B49" s="1"/>
      <c r="C49" s="2"/>
      <c r="D49" s="1" t="s">
        <v>69</v>
      </c>
      <c r="E49" s="12" t="s">
        <v>70</v>
      </c>
      <c r="F49" s="12" t="s">
        <v>71</v>
      </c>
      <c r="G49" s="1"/>
      <c r="H49" s="1"/>
      <c r="I49" s="14" t="s">
        <v>72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outlineLevel="1" x14ac:dyDescent="0.25">
      <c r="A50" s="94" t="s">
        <v>73</v>
      </c>
      <c r="B50" s="94"/>
      <c r="C50" s="100"/>
      <c r="D50" s="176">
        <v>168354</v>
      </c>
      <c r="E50" s="105"/>
      <c r="F50" s="94">
        <f>E50-D50</f>
        <v>-168354</v>
      </c>
      <c r="G50" s="1"/>
      <c r="H50" s="1"/>
      <c r="I50" s="94" t="s">
        <v>74</v>
      </c>
      <c r="J50" s="94"/>
      <c r="K50" s="94"/>
      <c r="L50" s="94"/>
      <c r="M50" s="94">
        <f>D41</f>
        <v>497375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outlineLevel="1" x14ac:dyDescent="0.25">
      <c r="A51" s="1" t="s">
        <v>75</v>
      </c>
      <c r="B51" s="1"/>
      <c r="C51" s="2"/>
      <c r="D51" s="175">
        <v>95854</v>
      </c>
      <c r="E51" s="8"/>
      <c r="F51" s="1">
        <f>E51-D51</f>
        <v>-95854</v>
      </c>
      <c r="G51" s="1"/>
      <c r="H51" s="1"/>
      <c r="I51" s="1" t="s">
        <v>76</v>
      </c>
      <c r="J51" s="1"/>
      <c r="K51" s="1"/>
      <c r="L51" s="1"/>
      <c r="M51" s="175">
        <f>308461-14929</f>
        <v>293532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outlineLevel="1" x14ac:dyDescent="0.25">
      <c r="A52" s="1" t="s">
        <v>77</v>
      </c>
      <c r="B52" s="1"/>
      <c r="C52" s="2"/>
      <c r="D52" s="24"/>
      <c r="E52" s="1"/>
      <c r="F52" s="1"/>
      <c r="G52" s="1"/>
      <c r="H52" s="1"/>
      <c r="I52" s="94" t="s">
        <v>78</v>
      </c>
      <c r="J52" s="94"/>
      <c r="K52" s="94"/>
      <c r="L52" s="94"/>
      <c r="M52" s="94">
        <f>M50-M51</f>
        <v>203843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outlineLevel="1" x14ac:dyDescent="0.25">
      <c r="A53" s="94" t="s">
        <v>79</v>
      </c>
      <c r="B53" s="94"/>
      <c r="C53" s="100"/>
      <c r="D53" s="94">
        <f t="shared" ref="D53:E53" si="1">+SUM(D50:D52)</f>
        <v>264208</v>
      </c>
      <c r="E53" s="94">
        <f t="shared" si="1"/>
        <v>0</v>
      </c>
      <c r="F53" s="94">
        <f>SUM(F50:F52)</f>
        <v>-264208</v>
      </c>
      <c r="G53" s="1"/>
      <c r="H53" s="1"/>
      <c r="I53" s="1" t="s">
        <v>80</v>
      </c>
      <c r="J53" s="1"/>
      <c r="K53" s="1"/>
      <c r="L53" s="1"/>
      <c r="M53" s="8"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outlineLevel="1" x14ac:dyDescent="0.25">
      <c r="A54" s="1"/>
      <c r="B54" s="1"/>
      <c r="C54" s="2"/>
      <c r="D54" s="1"/>
      <c r="E54" s="1"/>
      <c r="F54" s="1"/>
      <c r="G54" s="1"/>
      <c r="H54" s="1"/>
      <c r="I54" s="1" t="s">
        <v>81</v>
      </c>
      <c r="J54" s="1"/>
      <c r="K54" s="1"/>
      <c r="L54" s="1"/>
      <c r="M54" s="1">
        <f>F53</f>
        <v>-264208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outlineLevel="1" x14ac:dyDescent="0.25">
      <c r="A55" s="1"/>
      <c r="B55" s="1"/>
      <c r="C55" s="2"/>
      <c r="D55" s="1"/>
      <c r="E55" s="1"/>
      <c r="F55" s="1"/>
      <c r="G55" s="1"/>
      <c r="H55" s="1"/>
      <c r="I55" s="94" t="s">
        <v>82</v>
      </c>
      <c r="J55" s="94"/>
      <c r="K55" s="94"/>
      <c r="L55" s="94"/>
      <c r="M55" s="94">
        <f>M52-M54</f>
        <v>468051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outlineLevel="1" x14ac:dyDescent="0.25">
      <c r="A56" s="1"/>
      <c r="B56" s="1"/>
      <c r="C56" s="2"/>
      <c r="D56" s="1"/>
      <c r="E56" s="1"/>
      <c r="F56" s="1"/>
      <c r="G56" s="1"/>
      <c r="H56" s="1"/>
      <c r="I56" s="97" t="s">
        <v>83</v>
      </c>
      <c r="J56" s="97"/>
      <c r="K56" s="97"/>
      <c r="L56" s="97"/>
      <c r="M56" s="97">
        <f>+M55</f>
        <v>468051</v>
      </c>
      <c r="N56" s="25" t="s">
        <v>84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outlineLevel="1" x14ac:dyDescent="0.25">
      <c r="A57" s="1"/>
      <c r="B57" s="1"/>
      <c r="C57" s="2"/>
      <c r="D57" s="1"/>
      <c r="E57" s="1"/>
      <c r="F57" s="1"/>
      <c r="G57" s="1"/>
      <c r="H57" s="1"/>
      <c r="I57" s="14"/>
      <c r="J57" s="14"/>
      <c r="K57" s="14"/>
      <c r="L57" s="14"/>
      <c r="M57" s="14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x14ac:dyDescent="0.25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x14ac:dyDescent="0.35">
      <c r="A59" s="88" t="s">
        <v>85</v>
      </c>
      <c r="B59" s="89"/>
      <c r="C59" s="90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outlineLevel="1" x14ac:dyDescent="0.25">
      <c r="A60" s="1"/>
      <c r="B60" s="1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outlineLevel="1" x14ac:dyDescent="0.25">
      <c r="A61" s="91" t="s">
        <v>86</v>
      </c>
      <c r="B61" s="91"/>
      <c r="C61" s="103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outlineLevel="1" x14ac:dyDescent="0.25">
      <c r="A62" s="25" t="s">
        <v>87</v>
      </c>
      <c r="B62" s="25"/>
      <c r="C62" s="26"/>
      <c r="D62" s="27">
        <v>1</v>
      </c>
      <c r="E62" s="25">
        <f t="shared" ref="E62:M62" si="2">D62+1</f>
        <v>2</v>
      </c>
      <c r="F62" s="25">
        <f t="shared" si="2"/>
        <v>3</v>
      </c>
      <c r="G62" s="25">
        <f t="shared" si="2"/>
        <v>4</v>
      </c>
      <c r="H62" s="25">
        <f t="shared" si="2"/>
        <v>5</v>
      </c>
      <c r="I62" s="25">
        <f t="shared" si="2"/>
        <v>6</v>
      </c>
      <c r="J62" s="25">
        <f t="shared" si="2"/>
        <v>7</v>
      </c>
      <c r="K62" s="25">
        <f t="shared" si="2"/>
        <v>8</v>
      </c>
      <c r="L62" s="25">
        <f t="shared" si="2"/>
        <v>9</v>
      </c>
      <c r="M62" s="25">
        <f t="shared" si="2"/>
        <v>10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outlineLevel="1" x14ac:dyDescent="0.25">
      <c r="A63" s="1"/>
      <c r="B63" s="1"/>
      <c r="C63" s="2"/>
      <c r="D63" s="28" t="s">
        <v>88</v>
      </c>
      <c r="E63" s="28" t="s">
        <v>89</v>
      </c>
      <c r="F63" s="28" t="s">
        <v>70</v>
      </c>
      <c r="G63" s="28" t="s">
        <v>90</v>
      </c>
      <c r="H63" s="28" t="s">
        <v>91</v>
      </c>
      <c r="I63" s="28" t="s">
        <v>28</v>
      </c>
      <c r="J63" s="28" t="s">
        <v>28</v>
      </c>
      <c r="K63" s="28" t="s">
        <v>28</v>
      </c>
      <c r="L63" s="28" t="s">
        <v>92</v>
      </c>
      <c r="M63" s="28" t="s">
        <v>93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outlineLevel="1" x14ac:dyDescent="0.25">
      <c r="A64" s="1"/>
      <c r="B64" s="1"/>
      <c r="C64" s="2"/>
      <c r="D64" s="180">
        <f>+'Acquirer Model'!O4</f>
        <v>45838</v>
      </c>
      <c r="E64" s="180">
        <f>+'Target Model'!O4</f>
        <v>45838</v>
      </c>
      <c r="F64" s="94"/>
      <c r="G64" s="94"/>
      <c r="H64" s="106" t="s">
        <v>44</v>
      </c>
      <c r="I64" s="106" t="s">
        <v>94</v>
      </c>
      <c r="J64" s="106" t="s">
        <v>95</v>
      </c>
      <c r="K64" s="106" t="s">
        <v>96</v>
      </c>
      <c r="L64" s="94"/>
      <c r="M64" s="107">
        <f>+D10</f>
        <v>45838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outlineLevel="1" x14ac:dyDescent="0.25">
      <c r="A65" s="14" t="s">
        <v>97</v>
      </c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outlineLevel="1" x14ac:dyDescent="0.25">
      <c r="A66" s="1" t="s">
        <v>52</v>
      </c>
      <c r="B66" s="1"/>
      <c r="C66" s="1"/>
      <c r="D66" s="175">
        <f>'Acquirer Model'!O81</f>
        <v>367525.82526342495</v>
      </c>
      <c r="E66" s="175">
        <f>+'Target Model'!O81</f>
        <v>254785.31673174491</v>
      </c>
      <c r="F66" s="98"/>
      <c r="G66" s="1">
        <f t="shared" ref="G66:G67" si="3">+SUM(E66:F66)</f>
        <v>254785.31673174491</v>
      </c>
      <c r="H66" s="98">
        <f>-M37</f>
        <v>0</v>
      </c>
      <c r="I66" s="98">
        <f>+I39</f>
        <v>16801</v>
      </c>
      <c r="J66" s="98">
        <f>-SUM(M41:M43)</f>
        <v>-17125.28</v>
      </c>
      <c r="K66" s="98">
        <f>-SUM(M39:M40)</f>
        <v>-6801</v>
      </c>
      <c r="L66" s="1">
        <f t="shared" ref="L66:L67" si="4">+SUM(G66:K66)</f>
        <v>247660.03673174491</v>
      </c>
      <c r="M66" s="1">
        <f t="shared" ref="M66:M67" si="5">+L66+D66</f>
        <v>615185.86199516989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outlineLevel="1" x14ac:dyDescent="0.25">
      <c r="A67" s="1" t="s">
        <v>98</v>
      </c>
      <c r="B67" s="1"/>
      <c r="C67" s="1"/>
      <c r="D67" s="175">
        <f>+'Acquirer Model'!O82</f>
        <v>13712.135879296153</v>
      </c>
      <c r="E67" s="175">
        <f>+'Target Model'!O82</f>
        <v>10916.921427479101</v>
      </c>
      <c r="F67" s="98"/>
      <c r="G67" s="1">
        <f t="shared" si="3"/>
        <v>10916.921427479101</v>
      </c>
      <c r="H67" s="98"/>
      <c r="I67" s="98"/>
      <c r="J67" s="98"/>
      <c r="K67" s="98"/>
      <c r="L67" s="1">
        <f t="shared" si="4"/>
        <v>10916.921427479101</v>
      </c>
      <c r="M67" s="1">
        <f t="shared" si="5"/>
        <v>24629.057306775256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outlineLevel="1" x14ac:dyDescent="0.25">
      <c r="A68" s="1" t="s">
        <v>99</v>
      </c>
      <c r="B68" s="1"/>
      <c r="C68" s="1"/>
      <c r="D68" s="175">
        <f>+'Acquirer Model'!O83</f>
        <v>25595.986974686148</v>
      </c>
      <c r="E68" s="175">
        <f>+'Target Model'!O83</f>
        <v>15631.046589345075</v>
      </c>
      <c r="F68" s="98">
        <f>+F50</f>
        <v>-168354</v>
      </c>
      <c r="G68" s="1">
        <f>SUM(E68:F68)</f>
        <v>-152722.95341065491</v>
      </c>
      <c r="H68" s="98"/>
      <c r="I68" s="98"/>
      <c r="J68" s="98"/>
      <c r="K68" s="98"/>
      <c r="L68" s="1">
        <f>SUM(G68:K68)</f>
        <v>-152722.95341065491</v>
      </c>
      <c r="M68" s="1">
        <f>L68+D68</f>
        <v>-127126.96643596876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outlineLevel="1" x14ac:dyDescent="0.25">
      <c r="A69" s="97" t="s">
        <v>100</v>
      </c>
      <c r="B69" s="97"/>
      <c r="C69" s="97"/>
      <c r="D69" s="97">
        <f t="shared" ref="D69:E69" si="6">SUM(D66:D68)</f>
        <v>406833.94811740727</v>
      </c>
      <c r="E69" s="97">
        <f t="shared" si="6"/>
        <v>281333.28474856913</v>
      </c>
      <c r="F69" s="29"/>
      <c r="G69" s="97"/>
      <c r="H69" s="29"/>
      <c r="I69" s="29"/>
      <c r="J69" s="29"/>
      <c r="K69" s="29"/>
      <c r="L69" s="97">
        <f t="shared" ref="L69:M69" si="7">SUM(L66:L68)</f>
        <v>105854.0047485691</v>
      </c>
      <c r="M69" s="97">
        <f t="shared" si="7"/>
        <v>512687.95286597637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outlineLevel="1" x14ac:dyDescent="0.25">
      <c r="A70" s="1" t="s">
        <v>101</v>
      </c>
      <c r="B70" s="1"/>
      <c r="C70" s="1"/>
      <c r="D70" s="175">
        <f>+'Acquirer Model'!O85</f>
        <v>67140</v>
      </c>
      <c r="E70" s="175">
        <f>+'Target Model'!O85</f>
        <v>27127.599999999999</v>
      </c>
      <c r="F70" s="98">
        <f>+F51</f>
        <v>-95854</v>
      </c>
      <c r="G70" s="1">
        <f>SUM(E70:F70)</f>
        <v>-68726.399999999994</v>
      </c>
      <c r="H70" s="98"/>
      <c r="I70" s="98"/>
      <c r="J70" s="98"/>
      <c r="K70" s="98"/>
      <c r="L70" s="1">
        <f>SUM(G70:K70)</f>
        <v>-68726.399999999994</v>
      </c>
      <c r="M70" s="1">
        <f>L70+D70</f>
        <v>-1586.3999999999942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outlineLevel="1" x14ac:dyDescent="0.25">
      <c r="A71" s="1" t="s">
        <v>102</v>
      </c>
      <c r="B71" s="1"/>
      <c r="C71" s="1"/>
      <c r="D71" s="24">
        <f>+'Acquirer Model'!O86</f>
        <v>0</v>
      </c>
      <c r="E71" s="24">
        <f>+'Target Model'!O86</f>
        <v>0</v>
      </c>
      <c r="F71" s="98"/>
      <c r="G71" s="1">
        <f t="shared" ref="G71" si="8">+SUM(E71:F71)</f>
        <v>0</v>
      </c>
      <c r="H71" s="98">
        <f>M56</f>
        <v>468051</v>
      </c>
      <c r="I71" s="98"/>
      <c r="J71" s="98"/>
      <c r="K71" s="98"/>
      <c r="L71" s="1">
        <f>SUM(G71:K71)</f>
        <v>468051</v>
      </c>
      <c r="M71" s="1">
        <f>L71+D71</f>
        <v>468051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outlineLevel="1" x14ac:dyDescent="0.25">
      <c r="A72" s="108" t="s">
        <v>103</v>
      </c>
      <c r="B72" s="108"/>
      <c r="C72" s="108"/>
      <c r="D72" s="108">
        <f>SUM(D69:D71)</f>
        <v>473973.94811740727</v>
      </c>
      <c r="E72" s="108">
        <f>SUM(E69:E71)</f>
        <v>308460.88474856911</v>
      </c>
      <c r="F72" s="30"/>
      <c r="G72" s="108"/>
      <c r="H72" s="30"/>
      <c r="I72" s="30"/>
      <c r="J72" s="30"/>
      <c r="K72" s="30"/>
      <c r="L72" s="108">
        <f>SUM(L69:L71)</f>
        <v>505178.60474856908</v>
      </c>
      <c r="M72" s="108">
        <f>SUM(M69:M71)</f>
        <v>979152.55286597635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outlineLevel="1" x14ac:dyDescent="0.25">
      <c r="A73" s="14"/>
      <c r="B73" s="14"/>
      <c r="C73" s="14"/>
      <c r="D73" s="14"/>
      <c r="E73" s="14"/>
      <c r="F73" s="109"/>
      <c r="G73" s="14"/>
      <c r="H73" s="109"/>
      <c r="I73" s="109"/>
      <c r="J73" s="109"/>
      <c r="K73" s="109"/>
      <c r="L73" s="14"/>
      <c r="M73" s="14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outlineLevel="1" x14ac:dyDescent="0.25">
      <c r="A74" s="14" t="s">
        <v>104</v>
      </c>
      <c r="B74" s="14"/>
      <c r="C74" s="14"/>
      <c r="D74" s="14"/>
      <c r="E74" s="14"/>
      <c r="F74" s="109"/>
      <c r="G74" s="14"/>
      <c r="H74" s="109"/>
      <c r="I74" s="109"/>
      <c r="J74" s="109"/>
      <c r="K74" s="109"/>
      <c r="L74" s="14"/>
      <c r="M74" s="14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outlineLevel="1" x14ac:dyDescent="0.25">
      <c r="A75" s="1" t="s">
        <v>105</v>
      </c>
      <c r="B75" s="1"/>
      <c r="C75" s="1"/>
      <c r="D75" s="24">
        <f>+'Acquirer Model'!O90</f>
        <v>0</v>
      </c>
      <c r="E75" s="24"/>
      <c r="F75" s="98"/>
      <c r="G75" s="1"/>
      <c r="H75" s="98"/>
      <c r="I75" s="98"/>
      <c r="J75" s="98"/>
      <c r="K75" s="98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outlineLevel="1" x14ac:dyDescent="0.25">
      <c r="A76" s="1" t="s">
        <v>106</v>
      </c>
      <c r="B76" s="1"/>
      <c r="C76" s="1"/>
      <c r="D76" s="175">
        <f>+'Acquirer Model'!O91</f>
        <v>11838.143975792345</v>
      </c>
      <c r="E76" s="175">
        <f>+'Target Model'!O91</f>
        <v>8128.144226459438</v>
      </c>
      <c r="F76" s="98"/>
      <c r="G76" s="1">
        <f>SUM(E76:F76)</f>
        <v>8128.144226459438</v>
      </c>
      <c r="H76" s="98"/>
      <c r="I76" s="98"/>
      <c r="J76" s="98"/>
      <c r="K76" s="98"/>
      <c r="L76" s="1">
        <f>SUM(G76:K76)</f>
        <v>8128.144226459438</v>
      </c>
      <c r="M76" s="1">
        <f>D76+L76</f>
        <v>19966.288202251784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outlineLevel="1" x14ac:dyDescent="0.25">
      <c r="A77" s="97" t="s">
        <v>107</v>
      </c>
      <c r="B77" s="97"/>
      <c r="C77" s="97"/>
      <c r="D77" s="97">
        <f t="shared" ref="D77:E77" si="9">SUM(D75:D76)</f>
        <v>11838.143975792345</v>
      </c>
      <c r="E77" s="97">
        <f t="shared" si="9"/>
        <v>8128.144226459438</v>
      </c>
      <c r="F77" s="29"/>
      <c r="G77" s="97"/>
      <c r="H77" s="29"/>
      <c r="I77" s="29"/>
      <c r="J77" s="29"/>
      <c r="K77" s="29"/>
      <c r="L77" s="97">
        <f t="shared" ref="L77" si="10">SUM(L75:L76)</f>
        <v>8128.144226459438</v>
      </c>
      <c r="M77" s="97">
        <f>SUM(M75:M76)</f>
        <v>19966.288202251784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outlineLevel="1" x14ac:dyDescent="0.25">
      <c r="A78" s="1" t="s">
        <v>108</v>
      </c>
      <c r="B78" s="1"/>
      <c r="C78" s="1"/>
      <c r="D78" s="175">
        <f>+'Acquirer Model'!O93</f>
        <v>10000</v>
      </c>
      <c r="E78" s="175">
        <f>+'Target Model'!O93</f>
        <v>6801</v>
      </c>
      <c r="F78" s="98"/>
      <c r="G78" s="1">
        <f>+SUM(E78:F78)</f>
        <v>6801</v>
      </c>
      <c r="H78" s="98"/>
      <c r="I78" s="98">
        <f>+I39</f>
        <v>16801</v>
      </c>
      <c r="J78" s="98"/>
      <c r="K78" s="98">
        <f>+K66</f>
        <v>-6801</v>
      </c>
      <c r="L78" s="1">
        <f>SUM(G78:K78)</f>
        <v>16801</v>
      </c>
      <c r="M78" s="1">
        <f>D78+L78</f>
        <v>26801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outlineLevel="1" x14ac:dyDescent="0.25">
      <c r="A79" s="97" t="s">
        <v>109</v>
      </c>
      <c r="B79" s="97"/>
      <c r="C79" s="97"/>
      <c r="D79" s="97">
        <f t="shared" ref="D79:E79" si="11">+D78+D77</f>
        <v>21838.143975792344</v>
      </c>
      <c r="E79" s="97">
        <f t="shared" si="11"/>
        <v>14929.144226459437</v>
      </c>
      <c r="F79" s="29"/>
      <c r="G79" s="97"/>
      <c r="H79" s="29"/>
      <c r="I79" s="29"/>
      <c r="J79" s="29"/>
      <c r="K79" s="29"/>
      <c r="L79" s="97">
        <f>SUM(L77:L78)</f>
        <v>24929.144226459437</v>
      </c>
      <c r="M79" s="97">
        <f>SUM(M77:M78)</f>
        <v>46767.288202251788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outlineLevel="1" x14ac:dyDescent="0.25">
      <c r="A80" s="14" t="s">
        <v>110</v>
      </c>
      <c r="B80" s="14"/>
      <c r="C80" s="14"/>
      <c r="D80" s="14"/>
      <c r="E80" s="14"/>
      <c r="F80" s="109"/>
      <c r="G80" s="14"/>
      <c r="H80" s="109"/>
      <c r="I80" s="109"/>
      <c r="J80" s="109"/>
      <c r="K80" s="109"/>
      <c r="L80" s="14"/>
      <c r="M80" s="14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outlineLevel="1" x14ac:dyDescent="0.25">
      <c r="A81" s="1" t="s">
        <v>111</v>
      </c>
      <c r="B81" s="1"/>
      <c r="C81" s="1"/>
      <c r="D81" s="175">
        <f>+'Acquirer Model'!O96</f>
        <v>70000</v>
      </c>
      <c r="E81" s="175">
        <f>+'Target Model'!O96</f>
        <v>39202.508960573476</v>
      </c>
      <c r="F81" s="98"/>
      <c r="G81" s="1">
        <f t="shared" ref="G81:G82" si="12">+SUM(E81:F81)</f>
        <v>39202.508960573476</v>
      </c>
      <c r="H81" s="98">
        <f t="shared" ref="H81:H82" si="13">-G81</f>
        <v>-39202.508960573476</v>
      </c>
      <c r="I81" s="98">
        <f>+I38</f>
        <v>497375</v>
      </c>
      <c r="J81" s="98"/>
      <c r="K81" s="98"/>
      <c r="L81" s="1">
        <f>SUM(G81:K81)</f>
        <v>497375</v>
      </c>
      <c r="M81" s="1">
        <f t="shared" ref="M81:M82" si="14">+L81+D81</f>
        <v>567375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outlineLevel="1" x14ac:dyDescent="0.25">
      <c r="A82" s="1" t="s">
        <v>112</v>
      </c>
      <c r="B82" s="1"/>
      <c r="C82" s="1"/>
      <c r="D82" s="175">
        <f>+'Acquirer Model'!O97</f>
        <v>382136.30938189442</v>
      </c>
      <c r="E82" s="175">
        <f>+'Target Model'!O97</f>
        <v>254329.31970523161</v>
      </c>
      <c r="F82" s="98"/>
      <c r="G82" s="1">
        <f t="shared" si="12"/>
        <v>254329.31970523161</v>
      </c>
      <c r="H82" s="98">
        <f t="shared" si="13"/>
        <v>-254329.31970523161</v>
      </c>
      <c r="I82" s="98"/>
      <c r="J82" s="98">
        <f>+J66</f>
        <v>-17125.28</v>
      </c>
      <c r="K82" s="98"/>
      <c r="L82" s="1">
        <f>SUM(G82:K82)</f>
        <v>-17125.28</v>
      </c>
      <c r="M82" s="1">
        <f t="shared" si="14"/>
        <v>365011.02938189439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outlineLevel="1" x14ac:dyDescent="0.25">
      <c r="A83" s="110" t="s">
        <v>110</v>
      </c>
      <c r="B83" s="110"/>
      <c r="C83" s="110"/>
      <c r="D83" s="110">
        <f t="shared" ref="D83:E83" si="15">SUM(D81:D82)</f>
        <v>452136.30938189442</v>
      </c>
      <c r="E83" s="110">
        <f t="shared" si="15"/>
        <v>293531.82866580511</v>
      </c>
      <c r="F83" s="31"/>
      <c r="G83" s="110"/>
      <c r="H83" s="31"/>
      <c r="I83" s="31"/>
      <c r="J83" s="31"/>
      <c r="K83" s="31"/>
      <c r="L83" s="110">
        <f t="shared" ref="L83:M83" si="16">SUM(L81:L82)</f>
        <v>480249.72</v>
      </c>
      <c r="M83" s="110">
        <f t="shared" si="16"/>
        <v>932386.02938189439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outlineLevel="1" x14ac:dyDescent="0.25">
      <c r="A84" s="108" t="s">
        <v>113</v>
      </c>
      <c r="B84" s="108"/>
      <c r="C84" s="108"/>
      <c r="D84" s="108">
        <f>D79+D83</f>
        <v>473974.45335768675</v>
      </c>
      <c r="E84" s="108">
        <f t="shared" ref="E84:M84" si="17">E79+E83</f>
        <v>308460.97289226454</v>
      </c>
      <c r="F84" s="108">
        <f t="shared" si="17"/>
        <v>0</v>
      </c>
      <c r="G84" s="108">
        <f t="shared" si="17"/>
        <v>0</v>
      </c>
      <c r="H84" s="108">
        <f t="shared" si="17"/>
        <v>0</v>
      </c>
      <c r="I84" s="108">
        <f t="shared" si="17"/>
        <v>0</v>
      </c>
      <c r="J84" s="108">
        <f t="shared" si="17"/>
        <v>0</v>
      </c>
      <c r="K84" s="108">
        <f t="shared" si="17"/>
        <v>0</v>
      </c>
      <c r="L84" s="108">
        <f t="shared" si="17"/>
        <v>505178.86422645941</v>
      </c>
      <c r="M84" s="108">
        <f t="shared" si="17"/>
        <v>979153.31758414616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outlineLevel="1" x14ac:dyDescent="0.2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outlineLevel="1" x14ac:dyDescent="0.25">
      <c r="A86" s="25" t="s">
        <v>114</v>
      </c>
      <c r="B86" s="25"/>
      <c r="C86" s="26"/>
      <c r="D86" s="32">
        <f t="shared" ref="D86:E86" si="18">D84-D72</f>
        <v>0.50524027948267758</v>
      </c>
      <c r="E86" s="32">
        <f t="shared" si="18"/>
        <v>8.8143695436883718E-2</v>
      </c>
      <c r="F86" s="25"/>
      <c r="G86" s="25"/>
      <c r="H86" s="25"/>
      <c r="I86" s="25"/>
      <c r="J86" s="1"/>
      <c r="K86" s="1"/>
      <c r="L86" s="32">
        <f t="shared" ref="L86" si="19">L84-L72</f>
        <v>0.25947789032943547</v>
      </c>
      <c r="M86" s="32">
        <f>M84-M72</f>
        <v>0.76471816981211305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outlineLevel="1" x14ac:dyDescent="0.25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x14ac:dyDescent="0.25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x14ac:dyDescent="0.35">
      <c r="A89" s="88" t="s">
        <v>115</v>
      </c>
      <c r="B89" s="89"/>
      <c r="C89" s="90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outlineLevel="1" x14ac:dyDescent="0.25">
      <c r="A90" s="1"/>
      <c r="B90" s="1"/>
      <c r="C90" s="2"/>
      <c r="D90" s="1"/>
      <c r="E90" s="1"/>
      <c r="F90" s="1"/>
      <c r="G90" s="3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.75" outlineLevel="1" x14ac:dyDescent="0.3">
      <c r="A91" s="1"/>
      <c r="B91" s="34"/>
      <c r="C91" s="2"/>
      <c r="D91" s="1"/>
      <c r="E91" s="1"/>
      <c r="F91" s="1"/>
      <c r="G91" s="1"/>
      <c r="H91" s="1"/>
      <c r="I91" s="35">
        <f>+'Pro Forma Model'!J2</f>
        <v>2026</v>
      </c>
      <c r="J91" s="35">
        <f>+'Pro Forma Model'!K2</f>
        <v>2027</v>
      </c>
      <c r="K91" s="35">
        <f>+'Pro Forma Model'!L2</f>
        <v>2028</v>
      </c>
      <c r="L91" s="35">
        <f>+'Pro Forma Model'!M2</f>
        <v>2029</v>
      </c>
      <c r="M91" s="35">
        <f>+'Pro Forma Model'!N2</f>
        <v>2030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outlineLevel="1" x14ac:dyDescent="0.25">
      <c r="A92" s="94"/>
      <c r="B92" s="94"/>
      <c r="C92" s="100"/>
      <c r="D92" s="94"/>
      <c r="E92" s="94"/>
      <c r="F92" s="94"/>
      <c r="G92" s="111"/>
      <c r="H92" s="94"/>
      <c r="I92" s="94"/>
      <c r="J92" s="94"/>
      <c r="K92" s="94"/>
      <c r="L92" s="94"/>
      <c r="M92" s="94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outlineLevel="1" x14ac:dyDescent="0.25">
      <c r="A93" s="109" t="s">
        <v>116</v>
      </c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outlineLevel="1" x14ac:dyDescent="0.25">
      <c r="A94" s="1" t="s">
        <v>117</v>
      </c>
      <c r="B94" s="1"/>
      <c r="C94" s="2"/>
      <c r="D94" s="1"/>
      <c r="E94" s="1"/>
      <c r="F94" s="1"/>
      <c r="G94" s="1"/>
      <c r="H94" s="1"/>
      <c r="I94" s="175">
        <v>33098.601599999995</v>
      </c>
      <c r="J94" s="175">
        <v>37484.311017600005</v>
      </c>
      <c r="K94" s="175">
        <v>40290.104328768008</v>
      </c>
      <c r="L94" s="175">
        <v>42824.292575074571</v>
      </c>
      <c r="M94" s="175">
        <v>46787.531481800179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outlineLevel="1" x14ac:dyDescent="0.25">
      <c r="A95" s="1" t="s">
        <v>118</v>
      </c>
      <c r="B95" s="1"/>
      <c r="C95" s="2"/>
      <c r="D95" s="1"/>
      <c r="E95" s="1"/>
      <c r="F95" s="1"/>
      <c r="G95" s="1"/>
      <c r="H95" s="1"/>
      <c r="I95" s="175">
        <v>35161.435427867385</v>
      </c>
      <c r="J95" s="175">
        <v>41926.661971326161</v>
      </c>
      <c r="K95" s="175">
        <v>47231.641071684586</v>
      </c>
      <c r="L95" s="175">
        <v>51915.86778394266</v>
      </c>
      <c r="M95" s="175">
        <v>56511.675931265956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outlineLevel="1" x14ac:dyDescent="0.25">
      <c r="A96" s="1" t="s">
        <v>119</v>
      </c>
      <c r="B96" s="1"/>
      <c r="C96" s="2"/>
      <c r="D96" s="1"/>
      <c r="E96" s="1"/>
      <c r="F96" s="1"/>
      <c r="G96" s="1"/>
      <c r="H96" s="1"/>
      <c r="I96" s="175">
        <v>65931.960292697157</v>
      </c>
      <c r="J96" s="175">
        <v>74297.926973491063</v>
      </c>
      <c r="K96" s="175">
        <v>83175.031107320159</v>
      </c>
      <c r="L96" s="175">
        <v>89018.395258652992</v>
      </c>
      <c r="M96" s="175">
        <v>93395.348958392511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outlineLevel="1" x14ac:dyDescent="0.2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outlineLevel="1" x14ac:dyDescent="0.25">
      <c r="A98" s="1" t="s">
        <v>120</v>
      </c>
      <c r="B98" s="1"/>
      <c r="C98" s="2"/>
      <c r="D98" s="1"/>
      <c r="E98" s="1"/>
      <c r="F98" s="1"/>
      <c r="G98" s="1"/>
      <c r="H98" s="1"/>
      <c r="I98" s="1">
        <f t="shared" ref="I98:M98" si="20">+$D$22</f>
        <v>50000</v>
      </c>
      <c r="J98" s="1">
        <f t="shared" si="20"/>
        <v>50000</v>
      </c>
      <c r="K98" s="1">
        <f t="shared" si="20"/>
        <v>50000</v>
      </c>
      <c r="L98" s="1">
        <f t="shared" si="20"/>
        <v>50000</v>
      </c>
      <c r="M98" s="1">
        <f t="shared" si="20"/>
        <v>50000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outlineLevel="1" x14ac:dyDescent="0.25">
      <c r="A99" s="1" t="s">
        <v>121</v>
      </c>
      <c r="B99" s="1"/>
      <c r="C99" s="2"/>
      <c r="D99" s="1"/>
      <c r="E99" s="1"/>
      <c r="F99" s="1"/>
      <c r="G99" s="1"/>
      <c r="H99" s="1"/>
      <c r="I99" s="1">
        <f t="shared" ref="I99:M99" si="21">+$D$23</f>
        <v>25000</v>
      </c>
      <c r="J99" s="1">
        <f t="shared" si="21"/>
        <v>25000</v>
      </c>
      <c r="K99" s="1">
        <f t="shared" si="21"/>
        <v>25000</v>
      </c>
      <c r="L99" s="1">
        <f t="shared" si="21"/>
        <v>25000</v>
      </c>
      <c r="M99" s="1">
        <f t="shared" si="21"/>
        <v>25000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outlineLevel="1" x14ac:dyDescent="0.25">
      <c r="A100" s="1" t="s">
        <v>122</v>
      </c>
      <c r="B100" s="1"/>
      <c r="C100" s="2"/>
      <c r="D100" s="1"/>
      <c r="E100" s="1"/>
      <c r="F100" s="1"/>
      <c r="G100" s="1"/>
      <c r="H100" s="1"/>
      <c r="I100" s="1">
        <f t="shared" ref="I100:M100" si="22">+$D$25</f>
        <v>96000</v>
      </c>
      <c r="J100" s="1">
        <f t="shared" si="22"/>
        <v>96000</v>
      </c>
      <c r="K100" s="1">
        <f t="shared" si="22"/>
        <v>96000</v>
      </c>
      <c r="L100" s="1">
        <f t="shared" si="22"/>
        <v>96000</v>
      </c>
      <c r="M100" s="1">
        <f t="shared" si="22"/>
        <v>96000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outlineLevel="1" x14ac:dyDescent="0.2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outlineLevel="1" x14ac:dyDescent="0.25">
      <c r="A102" s="1" t="s">
        <v>123</v>
      </c>
      <c r="B102" s="1"/>
      <c r="C102" s="2"/>
      <c r="D102" s="1"/>
      <c r="E102" s="1"/>
      <c r="F102" s="1"/>
      <c r="G102" s="1"/>
      <c r="H102" s="1"/>
      <c r="I102" s="36">
        <f>I94/I98</f>
        <v>0.66197203199999988</v>
      </c>
      <c r="J102" s="36">
        <f t="shared" ref="J102:M102" si="23">J94/J98</f>
        <v>0.74968622035200005</v>
      </c>
      <c r="K102" s="36">
        <f t="shared" si="23"/>
        <v>0.80580208657536012</v>
      </c>
      <c r="L102" s="36">
        <f t="shared" si="23"/>
        <v>0.85648585150149137</v>
      </c>
      <c r="M102" s="36">
        <f t="shared" si="23"/>
        <v>0.93575062963600353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outlineLevel="1" x14ac:dyDescent="0.25">
      <c r="A103" s="1" t="s">
        <v>124</v>
      </c>
      <c r="B103" s="1"/>
      <c r="C103" s="2"/>
      <c r="D103" s="1"/>
      <c r="E103" s="1"/>
      <c r="F103" s="1"/>
      <c r="G103" s="1"/>
      <c r="H103" s="1"/>
      <c r="I103" s="36">
        <f>I95/I99</f>
        <v>1.4064574171146955</v>
      </c>
      <c r="J103" s="36">
        <f t="shared" ref="J103:M103" si="24">J95/J99</f>
        <v>1.6770664788530465</v>
      </c>
      <c r="K103" s="36">
        <f t="shared" si="24"/>
        <v>1.8892656428673835</v>
      </c>
      <c r="L103" s="36">
        <f t="shared" si="24"/>
        <v>2.0766347113577064</v>
      </c>
      <c r="M103" s="36">
        <f t="shared" si="24"/>
        <v>2.2604670372506384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outlineLevel="1" x14ac:dyDescent="0.25">
      <c r="A104" s="1" t="s">
        <v>125</v>
      </c>
      <c r="B104" s="1"/>
      <c r="C104" s="2"/>
      <c r="D104" s="1"/>
      <c r="E104" s="1"/>
      <c r="F104" s="1"/>
      <c r="G104" s="1"/>
      <c r="H104" s="1"/>
      <c r="I104" s="36">
        <f>I96/I100</f>
        <v>0.68679125304892874</v>
      </c>
      <c r="J104" s="36">
        <f t="shared" ref="J104:M104" si="25">J96/J100</f>
        <v>0.77393673930719853</v>
      </c>
      <c r="K104" s="36">
        <f t="shared" si="25"/>
        <v>0.86640657403458499</v>
      </c>
      <c r="L104" s="36">
        <f t="shared" si="25"/>
        <v>0.92727495061096865</v>
      </c>
      <c r="M104" s="36">
        <f t="shared" si="25"/>
        <v>0.97286821831658865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outlineLevel="1" x14ac:dyDescent="0.2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outlineLevel="1" x14ac:dyDescent="0.25">
      <c r="A106" s="37" t="s">
        <v>126</v>
      </c>
      <c r="B106" s="110"/>
      <c r="C106" s="113"/>
      <c r="D106" s="110"/>
      <c r="E106" s="110"/>
      <c r="F106" s="110"/>
      <c r="G106" s="110"/>
      <c r="H106" s="110"/>
      <c r="I106" s="114">
        <f>I104-I102/I102</f>
        <v>-0.31320874695107126</v>
      </c>
      <c r="J106" s="114">
        <f t="shared" ref="J106:M106" si="26">J104-J102/J102</f>
        <v>-0.22606326069280147</v>
      </c>
      <c r="K106" s="114">
        <f t="shared" si="26"/>
        <v>-0.13359342596541501</v>
      </c>
      <c r="L106" s="114">
        <f t="shared" si="26"/>
        <v>-7.2725049389031349E-2</v>
      </c>
      <c r="M106" s="114">
        <f t="shared" si="26"/>
        <v>-2.7131781683411349E-2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outlineLevel="1" x14ac:dyDescent="0.25">
      <c r="A107" s="1"/>
      <c r="B107" s="1"/>
      <c r="C107" s="2"/>
      <c r="D107" s="1"/>
      <c r="E107" s="1"/>
      <c r="F107" s="1"/>
      <c r="G107" s="1"/>
      <c r="H107" s="1"/>
      <c r="I107" s="38"/>
      <c r="J107" s="38"/>
      <c r="K107" s="38"/>
      <c r="L107" s="38"/>
      <c r="M107" s="38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outlineLevel="1" x14ac:dyDescent="0.25">
      <c r="A108" s="109" t="s">
        <v>127</v>
      </c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outlineLevel="1" x14ac:dyDescent="0.25">
      <c r="A109" s="1" t="s">
        <v>128</v>
      </c>
      <c r="B109" s="1"/>
      <c r="C109" s="2"/>
      <c r="D109" s="1"/>
      <c r="E109" s="1"/>
      <c r="F109" s="1"/>
      <c r="G109" s="1"/>
      <c r="H109" s="1"/>
      <c r="I109" s="175">
        <v>38099.459455342469</v>
      </c>
      <c r="J109" s="175">
        <v>42937.720463517806</v>
      </c>
      <c r="K109" s="175">
        <v>48812.388150417319</v>
      </c>
      <c r="L109" s="175">
        <v>52124.120890369391</v>
      </c>
      <c r="M109" s="175">
        <v>57202.842683973664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outlineLevel="1" x14ac:dyDescent="0.25">
      <c r="A110" s="1" t="s">
        <v>129</v>
      </c>
      <c r="B110" s="1"/>
      <c r="C110" s="2"/>
      <c r="D110" s="1"/>
      <c r="E110" s="1"/>
      <c r="F110" s="1"/>
      <c r="G110" s="1"/>
      <c r="H110" s="1"/>
      <c r="I110" s="175">
        <v>28274.493033184812</v>
      </c>
      <c r="J110" s="175">
        <v>32190.447188054197</v>
      </c>
      <c r="K110" s="175">
        <v>35998.424560021434</v>
      </c>
      <c r="L110" s="175">
        <v>39408.640605702574</v>
      </c>
      <c r="M110" s="175">
        <v>42879.543661297648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outlineLevel="1" x14ac:dyDescent="0.25">
      <c r="A111" s="1" t="s">
        <v>130</v>
      </c>
      <c r="B111" s="1"/>
      <c r="C111" s="2"/>
      <c r="D111" s="1"/>
      <c r="E111" s="1"/>
      <c r="F111" s="1"/>
      <c r="G111" s="1"/>
      <c r="H111" s="1"/>
      <c r="I111" s="175">
        <v>64363.268303107878</v>
      </c>
      <c r="J111" s="175">
        <v>74655.343136580996</v>
      </c>
      <c r="K111" s="175">
        <v>89002.179875835296</v>
      </c>
      <c r="L111" s="175">
        <v>96835.3505772145</v>
      </c>
      <c r="M111" s="175">
        <v>103369.33453916782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outlineLevel="1" x14ac:dyDescent="0.2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outlineLevel="1" x14ac:dyDescent="0.25">
      <c r="A113" s="1" t="s">
        <v>120</v>
      </c>
      <c r="B113" s="1"/>
      <c r="C113" s="2"/>
      <c r="D113" s="1"/>
      <c r="E113" s="1"/>
      <c r="F113" s="1"/>
      <c r="G113" s="1"/>
      <c r="H113" s="1"/>
      <c r="I113" s="1">
        <f t="shared" ref="I113:M113" si="27">+$D$22</f>
        <v>50000</v>
      </c>
      <c r="J113" s="1">
        <f t="shared" si="27"/>
        <v>50000</v>
      </c>
      <c r="K113" s="1">
        <f t="shared" si="27"/>
        <v>50000</v>
      </c>
      <c r="L113" s="1">
        <f t="shared" si="27"/>
        <v>50000</v>
      </c>
      <c r="M113" s="1">
        <f t="shared" si="27"/>
        <v>50000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outlineLevel="1" x14ac:dyDescent="0.25">
      <c r="A114" s="1" t="s">
        <v>121</v>
      </c>
      <c r="B114" s="1"/>
      <c r="C114" s="2"/>
      <c r="D114" s="1"/>
      <c r="E114" s="1"/>
      <c r="F114" s="1"/>
      <c r="G114" s="1"/>
      <c r="H114" s="1"/>
      <c r="I114" s="1">
        <f t="shared" ref="I114:M114" si="28">+$D$23</f>
        <v>25000</v>
      </c>
      <c r="J114" s="1">
        <f t="shared" si="28"/>
        <v>25000</v>
      </c>
      <c r="K114" s="1">
        <f t="shared" si="28"/>
        <v>25000</v>
      </c>
      <c r="L114" s="1">
        <f t="shared" si="28"/>
        <v>25000</v>
      </c>
      <c r="M114" s="1">
        <f t="shared" si="28"/>
        <v>25000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outlineLevel="1" x14ac:dyDescent="0.25">
      <c r="A115" s="1" t="s">
        <v>122</v>
      </c>
      <c r="B115" s="1"/>
      <c r="C115" s="2"/>
      <c r="D115" s="1"/>
      <c r="E115" s="1"/>
      <c r="F115" s="1"/>
      <c r="G115" s="1"/>
      <c r="H115" s="1"/>
      <c r="I115" s="1">
        <f t="shared" ref="I115:M115" si="29">+$D$25</f>
        <v>96000</v>
      </c>
      <c r="J115" s="1">
        <f t="shared" si="29"/>
        <v>96000</v>
      </c>
      <c r="K115" s="1">
        <f t="shared" si="29"/>
        <v>96000</v>
      </c>
      <c r="L115" s="1">
        <f t="shared" si="29"/>
        <v>96000</v>
      </c>
      <c r="M115" s="1">
        <f t="shared" si="29"/>
        <v>96000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outlineLevel="1" x14ac:dyDescent="0.2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outlineLevel="1" x14ac:dyDescent="0.25">
      <c r="A117" s="1" t="s">
        <v>131</v>
      </c>
      <c r="B117" s="1"/>
      <c r="C117" s="2"/>
      <c r="D117" s="1"/>
      <c r="E117" s="1"/>
      <c r="F117" s="1"/>
      <c r="G117" s="1"/>
      <c r="H117" s="1"/>
      <c r="I117" s="36">
        <f>I109/I113</f>
        <v>0.76198918910684932</v>
      </c>
      <c r="J117" s="36">
        <f t="shared" ref="J117:M117" si="30">J109/J113</f>
        <v>0.85875440927035607</v>
      </c>
      <c r="K117" s="36">
        <f t="shared" si="30"/>
        <v>0.97624776300834637</v>
      </c>
      <c r="L117" s="36">
        <f t="shared" si="30"/>
        <v>1.0424824178073879</v>
      </c>
      <c r="M117" s="36">
        <f t="shared" si="30"/>
        <v>1.1440568536794733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outlineLevel="1" x14ac:dyDescent="0.25">
      <c r="A118" s="1" t="s">
        <v>132</v>
      </c>
      <c r="B118" s="1"/>
      <c r="C118" s="2"/>
      <c r="D118" s="1"/>
      <c r="E118" s="1"/>
      <c r="F118" s="1"/>
      <c r="G118" s="1"/>
      <c r="H118" s="1"/>
      <c r="I118" s="36">
        <f>I110/I114</f>
        <v>1.1309797213273924</v>
      </c>
      <c r="J118" s="36">
        <f t="shared" ref="J118:M118" si="31">J110/J114</f>
        <v>1.2876178875221678</v>
      </c>
      <c r="K118" s="36">
        <f t="shared" si="31"/>
        <v>1.4399369824008574</v>
      </c>
      <c r="L118" s="36">
        <f t="shared" si="31"/>
        <v>1.5763456242281029</v>
      </c>
      <c r="M118" s="36">
        <f t="shared" si="31"/>
        <v>1.7151817464519059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outlineLevel="1" x14ac:dyDescent="0.25">
      <c r="A119" s="1" t="s">
        <v>133</v>
      </c>
      <c r="B119" s="1"/>
      <c r="C119" s="2"/>
      <c r="D119" s="1"/>
      <c r="E119" s="1"/>
      <c r="F119" s="1"/>
      <c r="G119" s="1"/>
      <c r="H119" s="1"/>
      <c r="I119" s="36">
        <f>I111/I115</f>
        <v>0.67045071149070701</v>
      </c>
      <c r="J119" s="36">
        <f t="shared" ref="J119:M119" si="32">J111/J115</f>
        <v>0.77765982433938541</v>
      </c>
      <c r="K119" s="36">
        <f t="shared" si="32"/>
        <v>0.92710604037328437</v>
      </c>
      <c r="L119" s="36">
        <f t="shared" si="32"/>
        <v>1.008701568512651</v>
      </c>
      <c r="M119" s="36">
        <f t="shared" si="32"/>
        <v>1.0767639014496648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outlineLevel="1" x14ac:dyDescent="0.2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outlineLevel="1" x14ac:dyDescent="0.25">
      <c r="A121" s="37" t="s">
        <v>126</v>
      </c>
      <c r="B121" s="110"/>
      <c r="C121" s="113"/>
      <c r="D121" s="110"/>
      <c r="E121" s="110"/>
      <c r="F121" s="110"/>
      <c r="G121" s="110"/>
      <c r="H121" s="110"/>
      <c r="I121" s="114">
        <f>I119/I117-I117</f>
        <v>0.1178798708158546</v>
      </c>
      <c r="J121" s="114">
        <f t="shared" ref="J121:M121" si="33">J119/J117-J117</f>
        <v>4.6812788923277671E-2</v>
      </c>
      <c r="K121" s="114">
        <f t="shared" si="33"/>
        <v>-2.6585110244492505E-2</v>
      </c>
      <c r="L121" s="114">
        <f t="shared" si="33"/>
        <v>-7.4886656687298103E-2</v>
      </c>
      <c r="M121" s="114">
        <f t="shared" si="33"/>
        <v>-0.20287644119680981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outlineLevel="1" x14ac:dyDescent="0.25">
      <c r="A122" s="1"/>
      <c r="B122" s="1"/>
      <c r="C122" s="2"/>
      <c r="D122" s="1"/>
      <c r="E122" s="1"/>
      <c r="F122" s="1"/>
      <c r="G122" s="1"/>
      <c r="H122" s="1"/>
      <c r="I122" s="38"/>
      <c r="J122" s="38"/>
      <c r="K122" s="38"/>
      <c r="L122" s="38"/>
      <c r="M122" s="38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x14ac:dyDescent="0.2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x14ac:dyDescent="0.35">
      <c r="A124" s="88" t="s">
        <v>134</v>
      </c>
      <c r="B124" s="89"/>
      <c r="C124" s="90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outlineLevel="1" x14ac:dyDescent="0.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outlineLevel="1" x14ac:dyDescent="0.25">
      <c r="A126" s="197" t="s">
        <v>135</v>
      </c>
      <c r="B126" s="198"/>
      <c r="C126" s="198"/>
      <c r="D126" s="198"/>
      <c r="E126" s="198"/>
      <c r="F126" s="198"/>
      <c r="G126" s="1"/>
      <c r="H126" s="197" t="s">
        <v>136</v>
      </c>
      <c r="I126" s="198"/>
      <c r="J126" s="198"/>
      <c r="K126" s="198"/>
      <c r="L126" s="198"/>
      <c r="M126" s="198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outlineLevel="1" x14ac:dyDescent="0.25">
      <c r="A127" s="1"/>
      <c r="B127" s="1"/>
      <c r="C127" s="1"/>
      <c r="D127" s="28" t="s">
        <v>48</v>
      </c>
      <c r="E127" s="28" t="s">
        <v>137</v>
      </c>
      <c r="F127" s="28" t="s">
        <v>138</v>
      </c>
      <c r="G127" s="1"/>
      <c r="H127" s="1"/>
      <c r="I127" s="1"/>
      <c r="J127" s="1"/>
      <c r="K127" s="28" t="s">
        <v>139</v>
      </c>
      <c r="L127" s="28" t="s">
        <v>140</v>
      </c>
      <c r="M127" s="28" t="s">
        <v>141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outlineLevel="1" x14ac:dyDescent="0.25">
      <c r="A128" s="94" t="s">
        <v>142</v>
      </c>
      <c r="B128" s="94"/>
      <c r="C128" s="100"/>
      <c r="D128" s="101">
        <f>+D34</f>
        <v>19.895</v>
      </c>
      <c r="E128" s="101">
        <f>+'M&amp;A Assumptions &amp; Analysis'!D9</f>
        <v>17.3</v>
      </c>
      <c r="F128" s="177">
        <f>+'Target Model'!C187</f>
        <v>37.762617394640507</v>
      </c>
      <c r="G128" s="1"/>
      <c r="H128" s="97" t="s">
        <v>143</v>
      </c>
      <c r="I128" s="97"/>
      <c r="J128" s="94"/>
      <c r="K128" s="176">
        <v>1107749.825263425</v>
      </c>
      <c r="L128" s="176">
        <v>1622473.0496438802</v>
      </c>
      <c r="M128" s="38">
        <f>L128/K128-1</f>
        <v>0.46465656111302311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outlineLevel="1" x14ac:dyDescent="0.25">
      <c r="A129" s="14" t="s">
        <v>88</v>
      </c>
      <c r="B129" s="1"/>
      <c r="C129" s="2"/>
      <c r="D129" s="1"/>
      <c r="E129" s="21"/>
      <c r="F129" s="178"/>
      <c r="G129" s="1"/>
      <c r="H129" s="1" t="s">
        <v>52</v>
      </c>
      <c r="I129" s="1"/>
      <c r="J129" s="1"/>
      <c r="K129" s="175">
        <v>367525.82526342495</v>
      </c>
      <c r="L129" s="175">
        <v>231446</v>
      </c>
      <c r="M129" s="38">
        <f>L129/K129-1</f>
        <v>-0.37025921965045427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outlineLevel="1" x14ac:dyDescent="0.25">
      <c r="A130" s="1" t="s">
        <v>144</v>
      </c>
      <c r="B130" s="1"/>
      <c r="C130" s="2"/>
      <c r="D130" s="1"/>
      <c r="E130" s="21">
        <f>+'M&amp;A Assumptions &amp; Analysis'!D8</f>
        <v>11.75</v>
      </c>
      <c r="F130" s="178">
        <f>+'Acquirer Model'!C188</f>
        <v>19.723176505268501</v>
      </c>
      <c r="G130" s="1"/>
      <c r="H130" s="1" t="s">
        <v>145</v>
      </c>
      <c r="I130" s="1"/>
      <c r="J130" s="1"/>
      <c r="K130" s="175">
        <v>10000</v>
      </c>
      <c r="L130" s="1">
        <v>46801</v>
      </c>
      <c r="M130" s="38">
        <f>L130/K130-1</f>
        <v>3.6801000000000004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outlineLevel="1" x14ac:dyDescent="0.25">
      <c r="A131" s="1" t="s">
        <v>146</v>
      </c>
      <c r="B131" s="1"/>
      <c r="C131" s="2"/>
      <c r="D131" s="1"/>
      <c r="E131" s="179" t="s">
        <v>279</v>
      </c>
      <c r="F131" s="178">
        <f>+'Pro Forma Model'!C199</f>
        <v>16.655072916666665</v>
      </c>
      <c r="G131" s="1"/>
      <c r="H131" s="94" t="s">
        <v>63</v>
      </c>
      <c r="I131" s="94"/>
      <c r="J131" s="94"/>
      <c r="K131" s="94">
        <f>(K128+K130-K129)</f>
        <v>750224</v>
      </c>
      <c r="L131" s="94">
        <f>(L128+L130-L129)</f>
        <v>1437828.0496438802</v>
      </c>
      <c r="M131" s="115">
        <f>L131/K131-1</f>
        <v>0.91653166206876913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outlineLevel="1" x14ac:dyDescent="0.25">
      <c r="A132" s="97" t="s">
        <v>147</v>
      </c>
      <c r="B132" s="97"/>
      <c r="C132" s="102"/>
      <c r="D132" s="102"/>
      <c r="E132" s="102"/>
      <c r="F132" s="116">
        <f>F131-F130</f>
        <v>-3.0681035886018364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outlineLevel="1" x14ac:dyDescent="0.25">
      <c r="A133" s="1"/>
      <c r="B133" s="1"/>
      <c r="C133" s="2"/>
      <c r="D133" s="1"/>
      <c r="E133" s="39"/>
      <c r="F133" s="39">
        <f>F132/F130</f>
        <v>-0.15555828888831763</v>
      </c>
      <c r="G133" s="1"/>
      <c r="H133" s="1" t="s">
        <v>148</v>
      </c>
      <c r="I133" s="1"/>
      <c r="J133" s="1"/>
      <c r="K133" s="1">
        <f>D22</f>
        <v>50000</v>
      </c>
      <c r="L133" s="1">
        <f>D25</f>
        <v>96000</v>
      </c>
      <c r="M133" s="38">
        <f t="shared" ref="M133" si="34">+L133/K133-1</f>
        <v>0.91999999999999993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outlineLevel="1" x14ac:dyDescent="0.25">
      <c r="A134" s="1"/>
      <c r="B134" s="1"/>
      <c r="C134" s="2"/>
      <c r="D134" s="1"/>
      <c r="E134" s="1"/>
      <c r="F134" s="1"/>
      <c r="G134" s="1"/>
      <c r="H134" s="14" t="s">
        <v>149</v>
      </c>
      <c r="I134" s="14"/>
      <c r="J134" s="1"/>
      <c r="K134" s="14">
        <f>K128/K133</f>
        <v>22.1549965052685</v>
      </c>
      <c r="L134" s="14">
        <f>L128/L133</f>
        <v>16.900760933790419</v>
      </c>
      <c r="M134" s="39">
        <f>L134/K134-1</f>
        <v>-0.23715804108696714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outlineLevel="1" x14ac:dyDescent="0.25">
      <c r="A135" s="1"/>
      <c r="B135" s="1"/>
      <c r="C135" s="2"/>
      <c r="D135" s="1"/>
      <c r="E135" s="1"/>
      <c r="F135" s="1"/>
      <c r="G135" s="1"/>
      <c r="H135" s="14"/>
      <c r="I135" s="14"/>
      <c r="J135" s="1"/>
      <c r="K135" s="1"/>
      <c r="L135" s="40"/>
      <c r="M135" s="40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outlineLevel="1" x14ac:dyDescent="0.2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outlineLevel="1" x14ac:dyDescent="0.25">
      <c r="A137" s="197" t="s">
        <v>150</v>
      </c>
      <c r="B137" s="198"/>
      <c r="C137" s="198"/>
      <c r="D137" s="198"/>
      <c r="E137" s="198"/>
      <c r="F137" s="198"/>
      <c r="G137" s="1"/>
      <c r="H137" s="197" t="s">
        <v>151</v>
      </c>
      <c r="I137" s="198"/>
      <c r="J137" s="198"/>
      <c r="K137" s="198"/>
      <c r="L137" s="198"/>
      <c r="M137" s="198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outlineLevel="1" x14ac:dyDescent="0.25">
      <c r="A138" s="1"/>
      <c r="B138" s="1"/>
      <c r="C138" s="199" t="s">
        <v>45</v>
      </c>
      <c r="D138" s="200"/>
      <c r="E138" s="200"/>
      <c r="F138" s="200"/>
      <c r="G138" s="1"/>
      <c r="H138" s="1"/>
      <c r="I138" s="1"/>
      <c r="J138" s="199" t="s">
        <v>45</v>
      </c>
      <c r="K138" s="200"/>
      <c r="L138" s="200"/>
      <c r="M138" s="200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outlineLevel="1" x14ac:dyDescent="0.25">
      <c r="A139" s="1"/>
      <c r="B139" s="181">
        <f>+F133</f>
        <v>-0.15555828888831763</v>
      </c>
      <c r="C139" s="182">
        <v>0.2</v>
      </c>
      <c r="D139" s="183">
        <f t="shared" ref="D139:F139" si="35">+C139+5%</f>
        <v>0.25</v>
      </c>
      <c r="E139" s="183">
        <f t="shared" si="35"/>
        <v>0.3</v>
      </c>
      <c r="F139" s="183">
        <f t="shared" si="35"/>
        <v>0.35</v>
      </c>
      <c r="G139" s="1"/>
      <c r="H139" s="1"/>
      <c r="I139" s="181">
        <f>+J106</f>
        <v>-0.22606326069280147</v>
      </c>
      <c r="J139" s="182">
        <v>0.2</v>
      </c>
      <c r="K139" s="183">
        <f t="shared" ref="K139:M139" si="36">+J139+5%</f>
        <v>0.25</v>
      </c>
      <c r="L139" s="183">
        <f t="shared" si="36"/>
        <v>0.3</v>
      </c>
      <c r="M139" s="183">
        <f t="shared" si="36"/>
        <v>0.35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outlineLevel="1" x14ac:dyDescent="0.25">
      <c r="A140" s="1" t="s">
        <v>152</v>
      </c>
      <c r="B140" s="184">
        <v>6500</v>
      </c>
      <c r="C140" s="185">
        <f>B140*C139</f>
        <v>1300</v>
      </c>
      <c r="D140" s="185">
        <f>B140*D139</f>
        <v>1625</v>
      </c>
      <c r="E140" s="185">
        <f>B140*E139</f>
        <v>1950</v>
      </c>
      <c r="F140" s="185">
        <f>B140*F139</f>
        <v>2275</v>
      </c>
      <c r="G140" s="1"/>
      <c r="H140" s="1" t="s">
        <v>153</v>
      </c>
      <c r="I140" s="187">
        <v>18</v>
      </c>
      <c r="J140" s="190">
        <f>I140*J139</f>
        <v>3.6</v>
      </c>
      <c r="K140" s="190">
        <f>I140*K139</f>
        <v>4.5</v>
      </c>
      <c r="L140" s="190">
        <f>I140*L139</f>
        <v>5.3999999999999995</v>
      </c>
      <c r="M140" s="190">
        <f>I140*M139</f>
        <v>6.3</v>
      </c>
      <c r="N140" s="1"/>
      <c r="O140" s="1"/>
      <c r="P140" s="1"/>
      <c r="Q140" s="1"/>
      <c r="R140" s="1"/>
      <c r="S140" s="1"/>
      <c r="T140" s="1"/>
      <c r="U140" s="1"/>
      <c r="V140" s="1"/>
    </row>
    <row r="141" spans="1:26" ht="15.75" outlineLevel="1" x14ac:dyDescent="0.25">
      <c r="A141" s="1"/>
      <c r="B141" s="186">
        <f t="shared" ref="B141:B145" si="37">+B140-1000</f>
        <v>5500</v>
      </c>
      <c r="C141" s="185">
        <f>B141*C139</f>
        <v>1100</v>
      </c>
      <c r="D141" s="185">
        <f>B141*D139</f>
        <v>1375</v>
      </c>
      <c r="E141" s="185">
        <f>B141*E139</f>
        <v>1650</v>
      </c>
      <c r="F141" s="185">
        <f>B141*F139</f>
        <v>1924.9999999999998</v>
      </c>
      <c r="G141" s="1"/>
      <c r="H141" s="1"/>
      <c r="I141" s="188">
        <f t="shared" ref="I141:I145" si="38">+I140+1</f>
        <v>19</v>
      </c>
      <c r="J141" s="190">
        <f>I141*J139</f>
        <v>3.8000000000000003</v>
      </c>
      <c r="K141" s="190">
        <f>I141*K139</f>
        <v>4.75</v>
      </c>
      <c r="L141" s="190">
        <f>I141*L139</f>
        <v>5.7</v>
      </c>
      <c r="M141" s="190">
        <f>I141*M139</f>
        <v>6.6499999999999995</v>
      </c>
      <c r="N141" s="1"/>
      <c r="O141" s="1"/>
      <c r="P141" s="1"/>
      <c r="Q141" s="1"/>
      <c r="R141" s="1"/>
      <c r="S141" s="1"/>
      <c r="T141" s="1"/>
      <c r="U141" s="1"/>
      <c r="V141" s="1"/>
    </row>
    <row r="142" spans="1:26" ht="15.75" outlineLevel="1" x14ac:dyDescent="0.25">
      <c r="A142" s="1"/>
      <c r="B142" s="186">
        <f t="shared" si="37"/>
        <v>4500</v>
      </c>
      <c r="C142" s="185">
        <f>B142*C139</f>
        <v>900</v>
      </c>
      <c r="D142" s="185">
        <f>B142*D139</f>
        <v>1125</v>
      </c>
      <c r="E142" s="185">
        <f>B142*E139</f>
        <v>1350</v>
      </c>
      <c r="F142" s="185">
        <f>B142*F139</f>
        <v>1575</v>
      </c>
      <c r="G142" s="1"/>
      <c r="H142" s="1"/>
      <c r="I142" s="188">
        <f t="shared" si="38"/>
        <v>20</v>
      </c>
      <c r="J142" s="186">
        <f>I142*J139</f>
        <v>4</v>
      </c>
      <c r="K142" s="186">
        <f>I142*K139</f>
        <v>5</v>
      </c>
      <c r="L142" s="186">
        <f>I142*L139</f>
        <v>6</v>
      </c>
      <c r="M142" s="186">
        <f>I142*M139</f>
        <v>7</v>
      </c>
      <c r="N142" s="1"/>
      <c r="O142" s="1"/>
      <c r="P142" s="1"/>
      <c r="Q142" s="1"/>
      <c r="R142" s="1"/>
      <c r="S142" s="1"/>
      <c r="T142" s="1"/>
      <c r="U142" s="1"/>
      <c r="V142" s="1"/>
    </row>
    <row r="143" spans="1:26" ht="15.75" outlineLevel="1" x14ac:dyDescent="0.25">
      <c r="A143" s="1"/>
      <c r="B143" s="186">
        <f t="shared" si="37"/>
        <v>3500</v>
      </c>
      <c r="C143" s="185">
        <f>B143*C139</f>
        <v>700</v>
      </c>
      <c r="D143" s="185">
        <f>B143*D139</f>
        <v>875</v>
      </c>
      <c r="E143" s="185">
        <f>B143*E139</f>
        <v>1050</v>
      </c>
      <c r="F143" s="185">
        <f>B143*F139</f>
        <v>1225</v>
      </c>
      <c r="G143" s="1"/>
      <c r="H143" s="1"/>
      <c r="I143" s="188">
        <f t="shared" si="38"/>
        <v>21</v>
      </c>
      <c r="J143" s="190">
        <f>I143*J139</f>
        <v>4.2</v>
      </c>
      <c r="K143" s="190">
        <f>I143*K139</f>
        <v>5.25</v>
      </c>
      <c r="L143" s="190">
        <f>I143*L139</f>
        <v>6.3</v>
      </c>
      <c r="M143" s="190">
        <f>I143*M139</f>
        <v>7.35</v>
      </c>
      <c r="N143" s="1"/>
      <c r="O143" s="1"/>
      <c r="P143" s="1"/>
      <c r="Q143" s="1"/>
      <c r="R143" s="1"/>
      <c r="S143" s="1"/>
      <c r="T143" s="1"/>
      <c r="U143" s="1"/>
      <c r="V143" s="1"/>
    </row>
    <row r="144" spans="1:26" ht="15.75" outlineLevel="1" x14ac:dyDescent="0.25">
      <c r="A144" s="1"/>
      <c r="B144" s="186">
        <f t="shared" si="37"/>
        <v>2500</v>
      </c>
      <c r="C144" s="185">
        <f>B144*C139</f>
        <v>500</v>
      </c>
      <c r="D144" s="185">
        <f>B144*D139</f>
        <v>625</v>
      </c>
      <c r="E144" s="185">
        <f>B144*E139</f>
        <v>750</v>
      </c>
      <c r="F144" s="185">
        <f>B144*F139</f>
        <v>875</v>
      </c>
      <c r="G144" s="1"/>
      <c r="H144" s="1"/>
      <c r="I144" s="188">
        <f t="shared" si="38"/>
        <v>22</v>
      </c>
      <c r="J144" s="190">
        <f>I144*J139</f>
        <v>4.4000000000000004</v>
      </c>
      <c r="K144" s="190">
        <f>I144*K139</f>
        <v>5.5</v>
      </c>
      <c r="L144" s="190">
        <f>I144*L139</f>
        <v>6.6</v>
      </c>
      <c r="M144" s="190">
        <f>I144*M139</f>
        <v>7.6999999999999993</v>
      </c>
      <c r="N144" s="1"/>
      <c r="O144" s="1"/>
      <c r="P144" s="1"/>
      <c r="Q144" s="1"/>
      <c r="R144" s="1"/>
      <c r="S144" s="1"/>
      <c r="T144" s="1"/>
      <c r="U144" s="1"/>
      <c r="V144" s="1"/>
    </row>
    <row r="145" spans="1:26" ht="15.75" outlineLevel="1" x14ac:dyDescent="0.25">
      <c r="A145" s="1"/>
      <c r="B145" s="186">
        <f t="shared" si="37"/>
        <v>1500</v>
      </c>
      <c r="C145" s="185">
        <f>B145*C139</f>
        <v>300</v>
      </c>
      <c r="D145" s="185">
        <f>B145*D139</f>
        <v>375</v>
      </c>
      <c r="E145" s="185">
        <f>B145*E139</f>
        <v>450</v>
      </c>
      <c r="F145" s="185">
        <f>B145*F139</f>
        <v>525</v>
      </c>
      <c r="G145" s="1"/>
      <c r="H145" s="1"/>
      <c r="I145" s="188">
        <f t="shared" si="38"/>
        <v>23</v>
      </c>
      <c r="J145" s="190">
        <f>I145*J139</f>
        <v>4.6000000000000005</v>
      </c>
      <c r="K145" s="190">
        <f>I145*K139</f>
        <v>5.75</v>
      </c>
      <c r="L145" s="190">
        <f>I145*L139</f>
        <v>6.8999999999999995</v>
      </c>
      <c r="M145" s="190">
        <f>I145*M139</f>
        <v>8.0499999999999989</v>
      </c>
      <c r="N145" s="1"/>
      <c r="O145" s="1"/>
      <c r="P145" s="1"/>
      <c r="Q145" s="1"/>
      <c r="R145" s="1"/>
      <c r="S145" s="1"/>
      <c r="T145" s="1"/>
      <c r="U145" s="1"/>
      <c r="V145" s="1"/>
    </row>
    <row r="146" spans="1:26" ht="15.75" outlineLevel="1" x14ac:dyDescent="0.2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outlineLevel="1" x14ac:dyDescent="0.2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x14ac:dyDescent="0.2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x14ac:dyDescent="0.2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x14ac:dyDescent="0.2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x14ac:dyDescent="0.2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x14ac:dyDescent="0.2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x14ac:dyDescent="0.2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x14ac:dyDescent="0.2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x14ac:dyDescent="0.2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x14ac:dyDescent="0.2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x14ac:dyDescent="0.2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x14ac:dyDescent="0.2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x14ac:dyDescent="0.2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x14ac:dyDescent="0.2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x14ac:dyDescent="0.2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x14ac:dyDescent="0.2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x14ac:dyDescent="0.2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x14ac:dyDescent="0.2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x14ac:dyDescent="0.2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x14ac:dyDescent="0.2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x14ac:dyDescent="0.2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x14ac:dyDescent="0.2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x14ac:dyDescent="0.2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x14ac:dyDescent="0.2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x14ac:dyDescent="0.2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x14ac:dyDescent="0.2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x14ac:dyDescent="0.2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x14ac:dyDescent="0.2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x14ac:dyDescent="0.2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x14ac:dyDescent="0.2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x14ac:dyDescent="0.2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x14ac:dyDescent="0.2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x14ac:dyDescent="0.2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x14ac:dyDescent="0.2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x14ac:dyDescent="0.2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x14ac:dyDescent="0.2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x14ac:dyDescent="0.2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x14ac:dyDescent="0.2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x14ac:dyDescent="0.2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x14ac:dyDescent="0.2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x14ac:dyDescent="0.2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x14ac:dyDescent="0.2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x14ac:dyDescent="0.2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x14ac:dyDescent="0.2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x14ac:dyDescent="0.2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x14ac:dyDescent="0.2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x14ac:dyDescent="0.2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x14ac:dyDescent="0.2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x14ac:dyDescent="0.2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x14ac:dyDescent="0.2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x14ac:dyDescent="0.2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x14ac:dyDescent="0.2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x14ac:dyDescent="0.2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x14ac:dyDescent="0.2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x14ac:dyDescent="0.2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x14ac:dyDescent="0.2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x14ac:dyDescent="0.2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x14ac:dyDescent="0.2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x14ac:dyDescent="0.2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x14ac:dyDescent="0.2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x14ac:dyDescent="0.2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x14ac:dyDescent="0.2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x14ac:dyDescent="0.2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x14ac:dyDescent="0.2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x14ac:dyDescent="0.2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x14ac:dyDescent="0.2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x14ac:dyDescent="0.2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x14ac:dyDescent="0.2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x14ac:dyDescent="0.2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x14ac:dyDescent="0.2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x14ac:dyDescent="0.2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x14ac:dyDescent="0.2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x14ac:dyDescent="0.2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x14ac:dyDescent="0.2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x14ac:dyDescent="0.2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x14ac:dyDescent="0.2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x14ac:dyDescent="0.2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x14ac:dyDescent="0.2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x14ac:dyDescent="0.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x14ac:dyDescent="0.2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x14ac:dyDescent="0.2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x14ac:dyDescent="0.2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x14ac:dyDescent="0.2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x14ac:dyDescent="0.2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x14ac:dyDescent="0.2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x14ac:dyDescent="0.2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x14ac:dyDescent="0.2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x14ac:dyDescent="0.2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x14ac:dyDescent="0.2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x14ac:dyDescent="0.2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x14ac:dyDescent="0.2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x14ac:dyDescent="0.2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x14ac:dyDescent="0.2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x14ac:dyDescent="0.2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x14ac:dyDescent="0.2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x14ac:dyDescent="0.2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x14ac:dyDescent="0.2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x14ac:dyDescent="0.2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x14ac:dyDescent="0.2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x14ac:dyDescent="0.2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x14ac:dyDescent="0.2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x14ac:dyDescent="0.2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x14ac:dyDescent="0.2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x14ac:dyDescent="0.2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x14ac:dyDescent="0.2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x14ac:dyDescent="0.2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x14ac:dyDescent="0.2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x14ac:dyDescent="0.2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x14ac:dyDescent="0.2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x14ac:dyDescent="0.2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x14ac:dyDescent="0.2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x14ac:dyDescent="0.2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x14ac:dyDescent="0.2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x14ac:dyDescent="0.2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x14ac:dyDescent="0.2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x14ac:dyDescent="0.2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x14ac:dyDescent="0.2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x14ac:dyDescent="0.2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x14ac:dyDescent="0.2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x14ac:dyDescent="0.2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x14ac:dyDescent="0.2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x14ac:dyDescent="0.2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x14ac:dyDescent="0.2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x14ac:dyDescent="0.2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x14ac:dyDescent="0.2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x14ac:dyDescent="0.2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x14ac:dyDescent="0.2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x14ac:dyDescent="0.2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x14ac:dyDescent="0.2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x14ac:dyDescent="0.2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x14ac:dyDescent="0.2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x14ac:dyDescent="0.2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x14ac:dyDescent="0.2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x14ac:dyDescent="0.2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x14ac:dyDescent="0.2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x14ac:dyDescent="0.2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x14ac:dyDescent="0.2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x14ac:dyDescent="0.2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x14ac:dyDescent="0.2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x14ac:dyDescent="0.2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x14ac:dyDescent="0.2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x14ac:dyDescent="0.2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x14ac:dyDescent="0.2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x14ac:dyDescent="0.2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x14ac:dyDescent="0.2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x14ac:dyDescent="0.2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x14ac:dyDescent="0.2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x14ac:dyDescent="0.2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x14ac:dyDescent="0.2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x14ac:dyDescent="0.2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x14ac:dyDescent="0.2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x14ac:dyDescent="0.2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x14ac:dyDescent="0.2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x14ac:dyDescent="0.2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x14ac:dyDescent="0.2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x14ac:dyDescent="0.2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x14ac:dyDescent="0.2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x14ac:dyDescent="0.2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x14ac:dyDescent="0.2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x14ac:dyDescent="0.2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x14ac:dyDescent="0.2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x14ac:dyDescent="0.2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x14ac:dyDescent="0.2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x14ac:dyDescent="0.2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x14ac:dyDescent="0.2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x14ac:dyDescent="0.2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x14ac:dyDescent="0.2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x14ac:dyDescent="0.2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x14ac:dyDescent="0.2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x14ac:dyDescent="0.2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x14ac:dyDescent="0.2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x14ac:dyDescent="0.2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x14ac:dyDescent="0.2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x14ac:dyDescent="0.2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x14ac:dyDescent="0.2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x14ac:dyDescent="0.2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x14ac:dyDescent="0.2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x14ac:dyDescent="0.2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x14ac:dyDescent="0.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x14ac:dyDescent="0.2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x14ac:dyDescent="0.2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x14ac:dyDescent="0.2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x14ac:dyDescent="0.2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x14ac:dyDescent="0.2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x14ac:dyDescent="0.2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x14ac:dyDescent="0.2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x14ac:dyDescent="0.2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x14ac:dyDescent="0.2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x14ac:dyDescent="0.2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x14ac:dyDescent="0.2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x14ac:dyDescent="0.2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x14ac:dyDescent="0.2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x14ac:dyDescent="0.2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x14ac:dyDescent="0.2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x14ac:dyDescent="0.2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x14ac:dyDescent="0.2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x14ac:dyDescent="0.2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x14ac:dyDescent="0.2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x14ac:dyDescent="0.2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x14ac:dyDescent="0.2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x14ac:dyDescent="0.2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x14ac:dyDescent="0.2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x14ac:dyDescent="0.2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x14ac:dyDescent="0.2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x14ac:dyDescent="0.2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x14ac:dyDescent="0.2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x14ac:dyDescent="0.2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x14ac:dyDescent="0.2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x14ac:dyDescent="0.2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x14ac:dyDescent="0.2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x14ac:dyDescent="0.2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x14ac:dyDescent="0.2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x14ac:dyDescent="0.2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x14ac:dyDescent="0.2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x14ac:dyDescent="0.2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x14ac:dyDescent="0.2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x14ac:dyDescent="0.2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x14ac:dyDescent="0.2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x14ac:dyDescent="0.2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x14ac:dyDescent="0.2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x14ac:dyDescent="0.2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x14ac:dyDescent="0.2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x14ac:dyDescent="0.2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x14ac:dyDescent="0.2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x14ac:dyDescent="0.2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x14ac:dyDescent="0.2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x14ac:dyDescent="0.2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x14ac:dyDescent="0.2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x14ac:dyDescent="0.2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x14ac:dyDescent="0.2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x14ac:dyDescent="0.2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x14ac:dyDescent="0.2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x14ac:dyDescent="0.2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x14ac:dyDescent="0.2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x14ac:dyDescent="0.2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x14ac:dyDescent="0.2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x14ac:dyDescent="0.2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x14ac:dyDescent="0.2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x14ac:dyDescent="0.2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x14ac:dyDescent="0.2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x14ac:dyDescent="0.2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x14ac:dyDescent="0.2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x14ac:dyDescent="0.2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x14ac:dyDescent="0.2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x14ac:dyDescent="0.2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x14ac:dyDescent="0.2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x14ac:dyDescent="0.2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x14ac:dyDescent="0.2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x14ac:dyDescent="0.2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x14ac:dyDescent="0.2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x14ac:dyDescent="0.2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x14ac:dyDescent="0.2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x14ac:dyDescent="0.2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x14ac:dyDescent="0.2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x14ac:dyDescent="0.2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x14ac:dyDescent="0.2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x14ac:dyDescent="0.2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x14ac:dyDescent="0.2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x14ac:dyDescent="0.2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x14ac:dyDescent="0.2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x14ac:dyDescent="0.2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x14ac:dyDescent="0.2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x14ac:dyDescent="0.2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x14ac:dyDescent="0.2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x14ac:dyDescent="0.2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x14ac:dyDescent="0.2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x14ac:dyDescent="0.2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x14ac:dyDescent="0.2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x14ac:dyDescent="0.2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x14ac:dyDescent="0.2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x14ac:dyDescent="0.2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x14ac:dyDescent="0.2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x14ac:dyDescent="0.2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x14ac:dyDescent="0.2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x14ac:dyDescent="0.2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x14ac:dyDescent="0.2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x14ac:dyDescent="0.2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x14ac:dyDescent="0.2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x14ac:dyDescent="0.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x14ac:dyDescent="0.2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x14ac:dyDescent="0.2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x14ac:dyDescent="0.2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x14ac:dyDescent="0.2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x14ac:dyDescent="0.2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x14ac:dyDescent="0.2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x14ac:dyDescent="0.2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x14ac:dyDescent="0.2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x14ac:dyDescent="0.2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x14ac:dyDescent="0.2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x14ac:dyDescent="0.2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x14ac:dyDescent="0.2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x14ac:dyDescent="0.2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x14ac:dyDescent="0.2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x14ac:dyDescent="0.2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x14ac:dyDescent="0.2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x14ac:dyDescent="0.2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x14ac:dyDescent="0.2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x14ac:dyDescent="0.2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x14ac:dyDescent="0.2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x14ac:dyDescent="0.2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x14ac:dyDescent="0.2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x14ac:dyDescent="0.2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x14ac:dyDescent="0.2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x14ac:dyDescent="0.2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x14ac:dyDescent="0.2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x14ac:dyDescent="0.2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x14ac:dyDescent="0.2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x14ac:dyDescent="0.2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x14ac:dyDescent="0.2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x14ac:dyDescent="0.2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x14ac:dyDescent="0.2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x14ac:dyDescent="0.2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x14ac:dyDescent="0.2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x14ac:dyDescent="0.2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x14ac:dyDescent="0.2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x14ac:dyDescent="0.2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x14ac:dyDescent="0.2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x14ac:dyDescent="0.2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x14ac:dyDescent="0.2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x14ac:dyDescent="0.2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x14ac:dyDescent="0.2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x14ac:dyDescent="0.2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x14ac:dyDescent="0.2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x14ac:dyDescent="0.2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x14ac:dyDescent="0.2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x14ac:dyDescent="0.2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x14ac:dyDescent="0.2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x14ac:dyDescent="0.2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x14ac:dyDescent="0.2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x14ac:dyDescent="0.2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x14ac:dyDescent="0.2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x14ac:dyDescent="0.2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x14ac:dyDescent="0.2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x14ac:dyDescent="0.2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x14ac:dyDescent="0.2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x14ac:dyDescent="0.2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x14ac:dyDescent="0.2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x14ac:dyDescent="0.2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x14ac:dyDescent="0.2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x14ac:dyDescent="0.2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x14ac:dyDescent="0.2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x14ac:dyDescent="0.2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x14ac:dyDescent="0.2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x14ac:dyDescent="0.2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x14ac:dyDescent="0.2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x14ac:dyDescent="0.2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x14ac:dyDescent="0.2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x14ac:dyDescent="0.2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x14ac:dyDescent="0.2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x14ac:dyDescent="0.2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x14ac:dyDescent="0.2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x14ac:dyDescent="0.2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x14ac:dyDescent="0.2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x14ac:dyDescent="0.2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x14ac:dyDescent="0.2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x14ac:dyDescent="0.2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x14ac:dyDescent="0.2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x14ac:dyDescent="0.2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x14ac:dyDescent="0.2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x14ac:dyDescent="0.2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x14ac:dyDescent="0.2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x14ac:dyDescent="0.2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x14ac:dyDescent="0.2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x14ac:dyDescent="0.2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x14ac:dyDescent="0.2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x14ac:dyDescent="0.2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x14ac:dyDescent="0.2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x14ac:dyDescent="0.2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x14ac:dyDescent="0.2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x14ac:dyDescent="0.2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x14ac:dyDescent="0.2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x14ac:dyDescent="0.2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x14ac:dyDescent="0.2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x14ac:dyDescent="0.2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x14ac:dyDescent="0.2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x14ac:dyDescent="0.2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x14ac:dyDescent="0.2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x14ac:dyDescent="0.2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x14ac:dyDescent="0.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x14ac:dyDescent="0.2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x14ac:dyDescent="0.2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x14ac:dyDescent="0.2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x14ac:dyDescent="0.2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x14ac:dyDescent="0.2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x14ac:dyDescent="0.2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x14ac:dyDescent="0.2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x14ac:dyDescent="0.2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x14ac:dyDescent="0.2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x14ac:dyDescent="0.2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x14ac:dyDescent="0.2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x14ac:dyDescent="0.2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x14ac:dyDescent="0.2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x14ac:dyDescent="0.2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x14ac:dyDescent="0.2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x14ac:dyDescent="0.2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x14ac:dyDescent="0.2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x14ac:dyDescent="0.2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x14ac:dyDescent="0.2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x14ac:dyDescent="0.2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x14ac:dyDescent="0.2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x14ac:dyDescent="0.2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x14ac:dyDescent="0.2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x14ac:dyDescent="0.2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x14ac:dyDescent="0.2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x14ac:dyDescent="0.2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x14ac:dyDescent="0.2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x14ac:dyDescent="0.2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x14ac:dyDescent="0.2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x14ac:dyDescent="0.2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x14ac:dyDescent="0.2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x14ac:dyDescent="0.2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x14ac:dyDescent="0.2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x14ac:dyDescent="0.2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x14ac:dyDescent="0.2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x14ac:dyDescent="0.2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x14ac:dyDescent="0.2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x14ac:dyDescent="0.2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x14ac:dyDescent="0.2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x14ac:dyDescent="0.2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x14ac:dyDescent="0.2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x14ac:dyDescent="0.2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x14ac:dyDescent="0.2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x14ac:dyDescent="0.2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x14ac:dyDescent="0.2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x14ac:dyDescent="0.2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x14ac:dyDescent="0.2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x14ac:dyDescent="0.2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x14ac:dyDescent="0.2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x14ac:dyDescent="0.2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x14ac:dyDescent="0.2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x14ac:dyDescent="0.2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x14ac:dyDescent="0.2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x14ac:dyDescent="0.2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x14ac:dyDescent="0.2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x14ac:dyDescent="0.2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x14ac:dyDescent="0.2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x14ac:dyDescent="0.2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x14ac:dyDescent="0.2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x14ac:dyDescent="0.2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x14ac:dyDescent="0.2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x14ac:dyDescent="0.2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x14ac:dyDescent="0.2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x14ac:dyDescent="0.2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x14ac:dyDescent="0.2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x14ac:dyDescent="0.2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x14ac:dyDescent="0.2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x14ac:dyDescent="0.2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x14ac:dyDescent="0.2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x14ac:dyDescent="0.2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x14ac:dyDescent="0.2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x14ac:dyDescent="0.2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x14ac:dyDescent="0.2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x14ac:dyDescent="0.2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x14ac:dyDescent="0.2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x14ac:dyDescent="0.2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x14ac:dyDescent="0.2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x14ac:dyDescent="0.2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x14ac:dyDescent="0.2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x14ac:dyDescent="0.2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x14ac:dyDescent="0.2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x14ac:dyDescent="0.2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x14ac:dyDescent="0.2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x14ac:dyDescent="0.2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x14ac:dyDescent="0.2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x14ac:dyDescent="0.2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x14ac:dyDescent="0.2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x14ac:dyDescent="0.2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x14ac:dyDescent="0.2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x14ac:dyDescent="0.2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x14ac:dyDescent="0.2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x14ac:dyDescent="0.2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x14ac:dyDescent="0.2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x14ac:dyDescent="0.2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x14ac:dyDescent="0.2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x14ac:dyDescent="0.2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x14ac:dyDescent="0.2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x14ac:dyDescent="0.2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x14ac:dyDescent="0.2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x14ac:dyDescent="0.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x14ac:dyDescent="0.2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x14ac:dyDescent="0.2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x14ac:dyDescent="0.2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x14ac:dyDescent="0.2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x14ac:dyDescent="0.2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x14ac:dyDescent="0.2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x14ac:dyDescent="0.2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x14ac:dyDescent="0.2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x14ac:dyDescent="0.2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x14ac:dyDescent="0.2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x14ac:dyDescent="0.2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x14ac:dyDescent="0.2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x14ac:dyDescent="0.2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x14ac:dyDescent="0.2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x14ac:dyDescent="0.2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x14ac:dyDescent="0.2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x14ac:dyDescent="0.2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x14ac:dyDescent="0.2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x14ac:dyDescent="0.2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x14ac:dyDescent="0.2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x14ac:dyDescent="0.2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x14ac:dyDescent="0.2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x14ac:dyDescent="0.2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x14ac:dyDescent="0.2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x14ac:dyDescent="0.2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x14ac:dyDescent="0.2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x14ac:dyDescent="0.2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x14ac:dyDescent="0.2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x14ac:dyDescent="0.2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x14ac:dyDescent="0.2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x14ac:dyDescent="0.2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x14ac:dyDescent="0.2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x14ac:dyDescent="0.2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x14ac:dyDescent="0.2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x14ac:dyDescent="0.2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x14ac:dyDescent="0.2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x14ac:dyDescent="0.2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x14ac:dyDescent="0.2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x14ac:dyDescent="0.2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x14ac:dyDescent="0.2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x14ac:dyDescent="0.2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x14ac:dyDescent="0.2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x14ac:dyDescent="0.2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x14ac:dyDescent="0.2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x14ac:dyDescent="0.2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x14ac:dyDescent="0.2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x14ac:dyDescent="0.2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x14ac:dyDescent="0.2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x14ac:dyDescent="0.2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x14ac:dyDescent="0.2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x14ac:dyDescent="0.2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x14ac:dyDescent="0.2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x14ac:dyDescent="0.2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x14ac:dyDescent="0.2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x14ac:dyDescent="0.2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x14ac:dyDescent="0.2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x14ac:dyDescent="0.2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x14ac:dyDescent="0.2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x14ac:dyDescent="0.2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x14ac:dyDescent="0.2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x14ac:dyDescent="0.2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x14ac:dyDescent="0.2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x14ac:dyDescent="0.2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x14ac:dyDescent="0.2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x14ac:dyDescent="0.2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x14ac:dyDescent="0.2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x14ac:dyDescent="0.2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x14ac:dyDescent="0.2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x14ac:dyDescent="0.2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x14ac:dyDescent="0.2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x14ac:dyDescent="0.2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x14ac:dyDescent="0.2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x14ac:dyDescent="0.2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x14ac:dyDescent="0.2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x14ac:dyDescent="0.2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x14ac:dyDescent="0.2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x14ac:dyDescent="0.2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x14ac:dyDescent="0.2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x14ac:dyDescent="0.2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x14ac:dyDescent="0.2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x14ac:dyDescent="0.2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x14ac:dyDescent="0.2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x14ac:dyDescent="0.2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x14ac:dyDescent="0.2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x14ac:dyDescent="0.2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x14ac:dyDescent="0.2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x14ac:dyDescent="0.2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x14ac:dyDescent="0.2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x14ac:dyDescent="0.2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x14ac:dyDescent="0.2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x14ac:dyDescent="0.2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x14ac:dyDescent="0.2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x14ac:dyDescent="0.2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x14ac:dyDescent="0.2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x14ac:dyDescent="0.2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x14ac:dyDescent="0.2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x14ac:dyDescent="0.2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x14ac:dyDescent="0.2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x14ac:dyDescent="0.2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x14ac:dyDescent="0.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x14ac:dyDescent="0.2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x14ac:dyDescent="0.2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x14ac:dyDescent="0.2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x14ac:dyDescent="0.2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x14ac:dyDescent="0.2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x14ac:dyDescent="0.2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x14ac:dyDescent="0.2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x14ac:dyDescent="0.2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x14ac:dyDescent="0.2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x14ac:dyDescent="0.2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x14ac:dyDescent="0.2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x14ac:dyDescent="0.2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x14ac:dyDescent="0.2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x14ac:dyDescent="0.2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x14ac:dyDescent="0.2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x14ac:dyDescent="0.2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x14ac:dyDescent="0.2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x14ac:dyDescent="0.2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x14ac:dyDescent="0.2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x14ac:dyDescent="0.2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x14ac:dyDescent="0.2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x14ac:dyDescent="0.2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x14ac:dyDescent="0.2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x14ac:dyDescent="0.2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x14ac:dyDescent="0.2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x14ac:dyDescent="0.2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x14ac:dyDescent="0.2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x14ac:dyDescent="0.2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x14ac:dyDescent="0.2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x14ac:dyDescent="0.2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x14ac:dyDescent="0.2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x14ac:dyDescent="0.2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x14ac:dyDescent="0.2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x14ac:dyDescent="0.2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x14ac:dyDescent="0.2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x14ac:dyDescent="0.2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x14ac:dyDescent="0.2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x14ac:dyDescent="0.2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x14ac:dyDescent="0.2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x14ac:dyDescent="0.2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x14ac:dyDescent="0.2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x14ac:dyDescent="0.2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x14ac:dyDescent="0.2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x14ac:dyDescent="0.2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x14ac:dyDescent="0.2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x14ac:dyDescent="0.2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x14ac:dyDescent="0.2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x14ac:dyDescent="0.2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x14ac:dyDescent="0.2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x14ac:dyDescent="0.2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x14ac:dyDescent="0.2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x14ac:dyDescent="0.2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x14ac:dyDescent="0.2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x14ac:dyDescent="0.2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x14ac:dyDescent="0.2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x14ac:dyDescent="0.2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x14ac:dyDescent="0.2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x14ac:dyDescent="0.2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x14ac:dyDescent="0.2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x14ac:dyDescent="0.2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x14ac:dyDescent="0.2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x14ac:dyDescent="0.2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x14ac:dyDescent="0.2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x14ac:dyDescent="0.2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x14ac:dyDescent="0.2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x14ac:dyDescent="0.2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x14ac:dyDescent="0.2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x14ac:dyDescent="0.2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x14ac:dyDescent="0.2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x14ac:dyDescent="0.2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x14ac:dyDescent="0.2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x14ac:dyDescent="0.2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x14ac:dyDescent="0.2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x14ac:dyDescent="0.2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x14ac:dyDescent="0.2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x14ac:dyDescent="0.2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x14ac:dyDescent="0.2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x14ac:dyDescent="0.2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x14ac:dyDescent="0.2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x14ac:dyDescent="0.2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x14ac:dyDescent="0.2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x14ac:dyDescent="0.2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x14ac:dyDescent="0.2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x14ac:dyDescent="0.2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x14ac:dyDescent="0.2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x14ac:dyDescent="0.2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x14ac:dyDescent="0.2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x14ac:dyDescent="0.2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x14ac:dyDescent="0.2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x14ac:dyDescent="0.2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x14ac:dyDescent="0.2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x14ac:dyDescent="0.2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x14ac:dyDescent="0.2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x14ac:dyDescent="0.2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x14ac:dyDescent="0.2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x14ac:dyDescent="0.2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x14ac:dyDescent="0.2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x14ac:dyDescent="0.2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x14ac:dyDescent="0.2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x14ac:dyDescent="0.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x14ac:dyDescent="0.2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x14ac:dyDescent="0.2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x14ac:dyDescent="0.2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x14ac:dyDescent="0.2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x14ac:dyDescent="0.2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x14ac:dyDescent="0.2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x14ac:dyDescent="0.2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x14ac:dyDescent="0.2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x14ac:dyDescent="0.2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x14ac:dyDescent="0.2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x14ac:dyDescent="0.2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x14ac:dyDescent="0.2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x14ac:dyDescent="0.2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x14ac:dyDescent="0.2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x14ac:dyDescent="0.2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x14ac:dyDescent="0.2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x14ac:dyDescent="0.2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x14ac:dyDescent="0.2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x14ac:dyDescent="0.2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x14ac:dyDescent="0.2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x14ac:dyDescent="0.2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x14ac:dyDescent="0.2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x14ac:dyDescent="0.2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x14ac:dyDescent="0.2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x14ac:dyDescent="0.2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x14ac:dyDescent="0.2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x14ac:dyDescent="0.2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x14ac:dyDescent="0.2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x14ac:dyDescent="0.2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x14ac:dyDescent="0.2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x14ac:dyDescent="0.2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x14ac:dyDescent="0.2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x14ac:dyDescent="0.2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x14ac:dyDescent="0.2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x14ac:dyDescent="0.2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x14ac:dyDescent="0.2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x14ac:dyDescent="0.2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x14ac:dyDescent="0.2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x14ac:dyDescent="0.2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x14ac:dyDescent="0.2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x14ac:dyDescent="0.2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x14ac:dyDescent="0.2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x14ac:dyDescent="0.2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x14ac:dyDescent="0.2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x14ac:dyDescent="0.2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x14ac:dyDescent="0.2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x14ac:dyDescent="0.2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x14ac:dyDescent="0.2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x14ac:dyDescent="0.2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x14ac:dyDescent="0.2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x14ac:dyDescent="0.2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x14ac:dyDescent="0.2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x14ac:dyDescent="0.2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x14ac:dyDescent="0.2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x14ac:dyDescent="0.2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x14ac:dyDescent="0.2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x14ac:dyDescent="0.2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x14ac:dyDescent="0.2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x14ac:dyDescent="0.2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x14ac:dyDescent="0.2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x14ac:dyDescent="0.2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x14ac:dyDescent="0.2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x14ac:dyDescent="0.2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x14ac:dyDescent="0.2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x14ac:dyDescent="0.2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x14ac:dyDescent="0.2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x14ac:dyDescent="0.2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x14ac:dyDescent="0.2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x14ac:dyDescent="0.2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x14ac:dyDescent="0.2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x14ac:dyDescent="0.2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x14ac:dyDescent="0.2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x14ac:dyDescent="0.2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x14ac:dyDescent="0.2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x14ac:dyDescent="0.2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x14ac:dyDescent="0.2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x14ac:dyDescent="0.2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x14ac:dyDescent="0.2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x14ac:dyDescent="0.2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x14ac:dyDescent="0.2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x14ac:dyDescent="0.2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x14ac:dyDescent="0.2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x14ac:dyDescent="0.2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x14ac:dyDescent="0.2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x14ac:dyDescent="0.2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x14ac:dyDescent="0.2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x14ac:dyDescent="0.2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x14ac:dyDescent="0.2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x14ac:dyDescent="0.2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x14ac:dyDescent="0.2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x14ac:dyDescent="0.2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x14ac:dyDescent="0.2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x14ac:dyDescent="0.2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x14ac:dyDescent="0.2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x14ac:dyDescent="0.2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x14ac:dyDescent="0.2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x14ac:dyDescent="0.2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x14ac:dyDescent="0.2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x14ac:dyDescent="0.2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x14ac:dyDescent="0.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x14ac:dyDescent="0.2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x14ac:dyDescent="0.2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x14ac:dyDescent="0.2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x14ac:dyDescent="0.2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x14ac:dyDescent="0.2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x14ac:dyDescent="0.2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x14ac:dyDescent="0.2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x14ac:dyDescent="0.2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x14ac:dyDescent="0.2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x14ac:dyDescent="0.2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x14ac:dyDescent="0.2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x14ac:dyDescent="0.2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x14ac:dyDescent="0.2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x14ac:dyDescent="0.2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x14ac:dyDescent="0.2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x14ac:dyDescent="0.2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x14ac:dyDescent="0.2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x14ac:dyDescent="0.2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x14ac:dyDescent="0.2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x14ac:dyDescent="0.2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x14ac:dyDescent="0.2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x14ac:dyDescent="0.2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x14ac:dyDescent="0.2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x14ac:dyDescent="0.2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x14ac:dyDescent="0.2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x14ac:dyDescent="0.2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x14ac:dyDescent="0.2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x14ac:dyDescent="0.2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x14ac:dyDescent="0.2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x14ac:dyDescent="0.2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x14ac:dyDescent="0.2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x14ac:dyDescent="0.2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x14ac:dyDescent="0.2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x14ac:dyDescent="0.2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x14ac:dyDescent="0.2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x14ac:dyDescent="0.2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x14ac:dyDescent="0.2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x14ac:dyDescent="0.2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x14ac:dyDescent="0.2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x14ac:dyDescent="0.2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x14ac:dyDescent="0.2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x14ac:dyDescent="0.2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x14ac:dyDescent="0.2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x14ac:dyDescent="0.2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x14ac:dyDescent="0.2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x14ac:dyDescent="0.2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x14ac:dyDescent="0.2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x14ac:dyDescent="0.2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x14ac:dyDescent="0.2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x14ac:dyDescent="0.2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x14ac:dyDescent="0.2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x14ac:dyDescent="0.2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x14ac:dyDescent="0.2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x14ac:dyDescent="0.2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x14ac:dyDescent="0.2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x14ac:dyDescent="0.2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x14ac:dyDescent="0.2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x14ac:dyDescent="0.2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x14ac:dyDescent="0.2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x14ac:dyDescent="0.2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x14ac:dyDescent="0.2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x14ac:dyDescent="0.2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x14ac:dyDescent="0.2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x14ac:dyDescent="0.2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x14ac:dyDescent="0.2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x14ac:dyDescent="0.2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x14ac:dyDescent="0.2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x14ac:dyDescent="0.2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x14ac:dyDescent="0.25">
      <c r="A994" s="1"/>
      <c r="B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x14ac:dyDescent="0.25">
      <c r="A995" s="1"/>
      <c r="B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x14ac:dyDescent="0.25">
      <c r="A996" s="1"/>
      <c r="B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x14ac:dyDescent="0.25">
      <c r="A997" s="1"/>
      <c r="B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x14ac:dyDescent="0.25">
      <c r="A998" s="1"/>
      <c r="B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x14ac:dyDescent="0.25">
      <c r="A999" s="1"/>
      <c r="B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x14ac:dyDescent="0.25">
      <c r="A1000" s="1"/>
      <c r="B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A126:F126"/>
    <mergeCell ref="H126:M126"/>
    <mergeCell ref="A137:F137"/>
    <mergeCell ref="H137:M137"/>
    <mergeCell ref="C138:F138"/>
    <mergeCell ref="J138:M138"/>
  </mergeCells>
  <conditionalFormatting sqref="D2:M2">
    <cfRule type="containsText" dxfId="25" priority="1" operator="containsText" text="OK">
      <formula>NOT(ISERROR(SEARCH(("OK"),(D2))))</formula>
    </cfRule>
    <cfRule type="containsText" dxfId="24" priority="2" operator="containsText" text="ERROR">
      <formula>NOT(ISERROR(SEARCH(("ERROR"),(D2))))</formula>
    </cfRule>
  </conditionalFormatting>
  <conditionalFormatting sqref="D4:M4">
    <cfRule type="containsText" dxfId="23" priority="3" operator="containsText" text="OK">
      <formula>NOT(ISERROR(SEARCH(("OK"),(D4))))</formula>
    </cfRule>
    <cfRule type="containsText" dxfId="22" priority="4" operator="containsText" text="ERROR">
      <formula>NOT(ISERROR(SEARCH(("ERROR"),(D4))))</formula>
    </cfRule>
  </conditionalFormatting>
  <conditionalFormatting sqref="D60:M60">
    <cfRule type="containsText" dxfId="21" priority="5" operator="containsText" text="OK">
      <formula>NOT(ISERROR(SEARCH(("OK"),(D60))))</formula>
    </cfRule>
    <cfRule type="containsText" dxfId="20" priority="6" operator="containsText" text="ERROR">
      <formula>NOT(ISERROR(SEARCH(("ERROR"),(D60))))</formula>
    </cfRule>
  </conditionalFormatting>
  <dataValidations count="2">
    <dataValidation type="list" allowBlank="1" showErrorMessage="1" sqref="H6" xr:uid="{00000000-0002-0000-0000-000000000000}">
      <formula1>$I$6:$M$6</formula1>
    </dataValidation>
    <dataValidation type="list" allowBlank="1" showErrorMessage="1" sqref="D19:D20" xr:uid="{00000000-0002-0000-0000-000001000000}">
      <formula1>"Yes,No"</formula1>
    </dataValidation>
  </dataValidations>
  <pageMargins left="0.7" right="0.7" top="0.75" bottom="0.75" header="0" footer="0"/>
  <pageSetup orientation="portrait"/>
  <ignoredErrors>
    <ignoredError sqref="L77:M77 L69:M69 L78:M78" formula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showGridLines="0" tabSelected="1" topLeftCell="C1" workbookViewId="0">
      <pane ySplit="6" topLeftCell="A150" activePane="bottomLeft" state="frozen"/>
      <selection pane="bottomLeft" activeCell="N160" sqref="N160"/>
    </sheetView>
  </sheetViews>
  <sheetFormatPr defaultColWidth="12.5703125" defaultRowHeight="15" customHeight="1" outlineLevelRow="1" x14ac:dyDescent="0.2"/>
  <cols>
    <col min="1" max="2" width="14.42578125" customWidth="1"/>
    <col min="3" max="3" width="16.42578125" customWidth="1"/>
    <col min="4" max="14" width="14.42578125" customWidth="1"/>
    <col min="15" max="26" width="9.140625" customWidth="1"/>
  </cols>
  <sheetData>
    <row r="1" spans="1:26" ht="15.75" x14ac:dyDescent="0.25">
      <c r="A1" s="118"/>
      <c r="B1" s="119"/>
      <c r="C1" s="120"/>
      <c r="D1" s="121"/>
      <c r="E1" s="121"/>
      <c r="F1" s="121"/>
      <c r="G1" s="121"/>
      <c r="H1" s="122"/>
      <c r="I1" s="201" t="s">
        <v>154</v>
      </c>
      <c r="J1" s="198"/>
      <c r="K1" s="198"/>
      <c r="L1" s="198"/>
      <c r="M1" s="198"/>
      <c r="N1" s="19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 x14ac:dyDescent="0.35">
      <c r="A2" s="83" t="s">
        <v>155</v>
      </c>
      <c r="B2" s="84"/>
      <c r="C2" s="85"/>
      <c r="D2" s="123"/>
      <c r="E2" s="123"/>
      <c r="F2" s="123"/>
      <c r="G2" s="123"/>
      <c r="H2" s="124" t="s">
        <v>156</v>
      </c>
      <c r="I2" s="87">
        <f>'Acquirer Model'!I2</f>
        <v>2025</v>
      </c>
      <c r="J2" s="87">
        <f>'Acquirer Model'!J2</f>
        <v>2026</v>
      </c>
      <c r="K2" s="87">
        <f>'Acquirer Model'!K2</f>
        <v>2027</v>
      </c>
      <c r="L2" s="87">
        <f>'Acquirer Model'!L2</f>
        <v>2028</v>
      </c>
      <c r="M2" s="87">
        <f>'Acquirer Model'!M2</f>
        <v>2029</v>
      </c>
      <c r="N2" s="87">
        <f>'Acquirer Model'!N2</f>
        <v>2030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outlineLevel="1" x14ac:dyDescent="0.25">
      <c r="A3" s="25" t="s">
        <v>157</v>
      </c>
      <c r="B3" s="25"/>
      <c r="C3" s="26"/>
      <c r="D3" s="3"/>
      <c r="E3" s="3"/>
      <c r="F3" s="3"/>
      <c r="G3" s="3"/>
      <c r="H3" s="3" t="str">
        <f t="shared" ref="H3:N3" si="0">IFERROR(IF(ABS(H71)&gt;1,"ERROR","ok"),"ok")</f>
        <v>ok</v>
      </c>
      <c r="I3" s="3" t="str">
        <f t="shared" si="0"/>
        <v>ERROR</v>
      </c>
      <c r="J3" s="3" t="str">
        <f t="shared" si="0"/>
        <v>ERROR</v>
      </c>
      <c r="K3" s="3" t="str">
        <f t="shared" si="0"/>
        <v>ERROR</v>
      </c>
      <c r="L3" s="3" t="str">
        <f t="shared" si="0"/>
        <v>ERROR</v>
      </c>
      <c r="M3" s="3" t="str">
        <f t="shared" si="0"/>
        <v>ERROR</v>
      </c>
      <c r="N3" s="3" t="str">
        <f t="shared" si="0"/>
        <v>ERROR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outlineLevel="1" x14ac:dyDescent="0.25">
      <c r="A4" s="42" t="s">
        <v>158</v>
      </c>
      <c r="B4" s="1"/>
      <c r="C4" s="2"/>
      <c r="D4" s="43"/>
      <c r="E4" s="44"/>
      <c r="F4" s="44"/>
      <c r="G4" s="43"/>
      <c r="H4" s="43">
        <v>45838</v>
      </c>
      <c r="I4" s="43">
        <v>46022</v>
      </c>
      <c r="J4" s="43">
        <v>46387</v>
      </c>
      <c r="K4" s="43">
        <v>46752</v>
      </c>
      <c r="L4" s="43">
        <v>47118</v>
      </c>
      <c r="M4" s="43">
        <v>47483</v>
      </c>
      <c r="N4" s="43">
        <v>47848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outlineLevel="1" x14ac:dyDescent="0.25">
      <c r="A5" s="42" t="s">
        <v>159</v>
      </c>
      <c r="B5" s="1"/>
      <c r="C5" s="2"/>
      <c r="D5" s="45"/>
      <c r="E5" s="46"/>
      <c r="F5" s="46"/>
      <c r="G5" s="45"/>
      <c r="H5" s="3">
        <v>365</v>
      </c>
      <c r="I5" s="3">
        <v>365</v>
      </c>
      <c r="J5" s="45">
        <v>365</v>
      </c>
      <c r="K5" s="45">
        <v>365</v>
      </c>
      <c r="L5" s="45">
        <v>365</v>
      </c>
      <c r="M5" s="45">
        <v>365</v>
      </c>
      <c r="N5" s="45">
        <v>365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outlineLevel="1" x14ac:dyDescent="0.25">
      <c r="A6" s="42" t="s">
        <v>160</v>
      </c>
      <c r="B6" s="1"/>
      <c r="C6" s="2"/>
      <c r="D6" s="47"/>
      <c r="E6" s="48"/>
      <c r="F6" s="48"/>
      <c r="G6" s="47"/>
      <c r="H6" s="47">
        <v>1</v>
      </c>
      <c r="I6" s="47">
        <v>1</v>
      </c>
      <c r="J6" s="47">
        <v>1</v>
      </c>
      <c r="K6" s="47">
        <v>1</v>
      </c>
      <c r="L6" s="47">
        <v>1</v>
      </c>
      <c r="M6" s="47">
        <v>1</v>
      </c>
      <c r="N6" s="47">
        <v>1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x14ac:dyDescent="0.25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" x14ac:dyDescent="0.35">
      <c r="A8" s="88" t="s">
        <v>0</v>
      </c>
      <c r="B8" s="89"/>
      <c r="C8" s="90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outlineLevel="1" x14ac:dyDescent="0.25">
      <c r="A9" s="1"/>
      <c r="B9" s="1"/>
      <c r="C9" s="2"/>
      <c r="D9" s="1"/>
      <c r="E9" s="1"/>
      <c r="F9" s="1"/>
      <c r="G9" s="1"/>
      <c r="H9" s="1"/>
      <c r="I9" s="8"/>
      <c r="J9" s="8"/>
      <c r="K9" s="8"/>
      <c r="L9" s="8"/>
      <c r="M9" s="8"/>
      <c r="N9" s="8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outlineLevel="1" x14ac:dyDescent="0.25">
      <c r="A10" s="14"/>
      <c r="B10" s="1"/>
      <c r="C10" s="2"/>
      <c r="D10" s="1"/>
      <c r="E10" s="1"/>
      <c r="F10" s="1"/>
      <c r="G10" s="1"/>
      <c r="H10" s="1"/>
      <c r="I10" s="8"/>
      <c r="J10" s="8"/>
      <c r="K10" s="8"/>
      <c r="L10" s="8"/>
      <c r="M10" s="8"/>
      <c r="N10" s="8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outlineLevel="1" x14ac:dyDescent="0.25">
      <c r="A11" s="14" t="s">
        <v>161</v>
      </c>
      <c r="B11" s="1"/>
      <c r="C11" s="2"/>
      <c r="D11" s="1"/>
      <c r="E11" s="1"/>
      <c r="F11" s="1"/>
      <c r="G11" s="3" t="s">
        <v>114</v>
      </c>
      <c r="H11" s="1"/>
      <c r="I11" s="8"/>
      <c r="J11" s="8"/>
      <c r="K11" s="8"/>
      <c r="L11" s="8"/>
      <c r="M11" s="8"/>
      <c r="N11" s="8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outlineLevel="1" x14ac:dyDescent="0.25">
      <c r="A12" s="1" t="s">
        <v>34</v>
      </c>
      <c r="B12" s="1"/>
      <c r="C12" s="2"/>
      <c r="D12" s="1"/>
      <c r="E12" s="1"/>
      <c r="F12" s="1"/>
      <c r="G12" s="49">
        <f t="shared" ref="G12:G14" si="1">SUM(H12:N12)</f>
        <v>1</v>
      </c>
      <c r="H12" s="41">
        <v>0</v>
      </c>
      <c r="I12" s="41">
        <v>0.25</v>
      </c>
      <c r="J12" s="41">
        <v>0.25</v>
      </c>
      <c r="K12" s="41">
        <v>0.25</v>
      </c>
      <c r="L12" s="41">
        <v>0.25</v>
      </c>
      <c r="M12" s="41">
        <v>0</v>
      </c>
      <c r="N12" s="41">
        <v>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outlineLevel="1" x14ac:dyDescent="0.25">
      <c r="A13" s="1" t="s">
        <v>35</v>
      </c>
      <c r="B13" s="1"/>
      <c r="C13" s="2"/>
      <c r="D13" s="1"/>
      <c r="E13" s="1"/>
      <c r="F13" s="1"/>
      <c r="G13" s="49">
        <f t="shared" si="1"/>
        <v>1</v>
      </c>
      <c r="H13" s="41">
        <v>0</v>
      </c>
      <c r="I13" s="41">
        <v>0</v>
      </c>
      <c r="J13" s="41">
        <v>0.2</v>
      </c>
      <c r="K13" s="41">
        <v>0.2</v>
      </c>
      <c r="L13" s="41">
        <v>0.2</v>
      </c>
      <c r="M13" s="41">
        <v>0.2</v>
      </c>
      <c r="N13" s="41">
        <v>0.2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outlineLevel="1" x14ac:dyDescent="0.25">
      <c r="A14" s="1" t="s">
        <v>37</v>
      </c>
      <c r="B14" s="1"/>
      <c r="C14" s="2"/>
      <c r="D14" s="1"/>
      <c r="E14" s="1"/>
      <c r="F14" s="1"/>
      <c r="G14" s="49">
        <f t="shared" si="1"/>
        <v>1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1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outlineLevel="1" x14ac:dyDescent="0.25">
      <c r="A15" s="1"/>
      <c r="B15" s="1"/>
      <c r="C15" s="2"/>
      <c r="D15" s="1"/>
      <c r="E15" s="1"/>
      <c r="F15" s="1"/>
      <c r="G15" s="1"/>
      <c r="H15" s="50"/>
      <c r="I15" s="50"/>
      <c r="J15" s="50"/>
      <c r="K15" s="50"/>
      <c r="L15" s="50"/>
      <c r="M15" s="50"/>
      <c r="N15" s="50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outlineLevel="1" x14ac:dyDescent="0.25">
      <c r="A16" s="1"/>
      <c r="B16" s="1"/>
      <c r="C16" s="2"/>
      <c r="D16" s="1"/>
      <c r="E16" s="1"/>
      <c r="F16" s="1"/>
      <c r="G16" s="1"/>
      <c r="H16" s="50"/>
      <c r="I16" s="50"/>
      <c r="J16" s="50"/>
      <c r="K16" s="50"/>
      <c r="L16" s="50"/>
      <c r="M16" s="50"/>
      <c r="N16" s="50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outlineLevel="1" x14ac:dyDescent="0.25">
      <c r="A17" s="1" t="s">
        <v>162</v>
      </c>
      <c r="B17" s="51"/>
      <c r="C17" s="52"/>
      <c r="D17" s="51"/>
      <c r="E17" s="18"/>
      <c r="F17" s="18"/>
      <c r="G17" s="18"/>
      <c r="H17" s="53"/>
      <c r="I17" s="53"/>
      <c r="J17" s="53"/>
      <c r="K17" s="53"/>
      <c r="L17" s="53"/>
      <c r="M17" s="53"/>
      <c r="N17" s="5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outlineLevel="1" x14ac:dyDescent="0.25">
      <c r="A18" s="1" t="s">
        <v>163</v>
      </c>
      <c r="B18" s="8"/>
      <c r="C18" s="54"/>
      <c r="D18" s="18"/>
      <c r="E18" s="18"/>
      <c r="F18" s="18"/>
      <c r="G18" s="18"/>
      <c r="H18" s="53"/>
      <c r="I18" s="53"/>
      <c r="J18" s="53"/>
      <c r="K18" s="53"/>
      <c r="L18" s="53"/>
      <c r="M18" s="53"/>
      <c r="N18" s="53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outlineLevel="1" x14ac:dyDescent="0.25">
      <c r="A19" s="1" t="s">
        <v>164</v>
      </c>
      <c r="B19" s="8"/>
      <c r="C19" s="54"/>
      <c r="D19" s="18"/>
      <c r="E19" s="18"/>
      <c r="F19" s="18"/>
      <c r="G19" s="18"/>
      <c r="H19" s="53"/>
      <c r="I19" s="53"/>
      <c r="J19" s="53"/>
      <c r="K19" s="53"/>
      <c r="L19" s="53"/>
      <c r="M19" s="53"/>
      <c r="N19" s="53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outlineLevel="1" x14ac:dyDescent="0.25">
      <c r="A20" s="1"/>
      <c r="B20" s="8"/>
      <c r="C20" s="54"/>
      <c r="D20" s="18"/>
      <c r="E20" s="18"/>
      <c r="F20" s="18"/>
      <c r="G20" s="18"/>
      <c r="H20" s="53"/>
      <c r="I20" s="53"/>
      <c r="J20" s="53"/>
      <c r="K20" s="53"/>
      <c r="L20" s="53"/>
      <c r="M20" s="53"/>
      <c r="N20" s="5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outlineLevel="1" x14ac:dyDescent="0.25">
      <c r="A21" s="1" t="s">
        <v>165</v>
      </c>
      <c r="B21" s="8"/>
      <c r="C21" s="54"/>
      <c r="D21" s="18"/>
      <c r="E21" s="18"/>
      <c r="F21" s="18"/>
      <c r="G21" s="18"/>
      <c r="H21" s="53"/>
      <c r="I21" s="55">
        <v>0.2</v>
      </c>
      <c r="J21" s="55">
        <v>0.2</v>
      </c>
      <c r="K21" s="55">
        <v>0.2</v>
      </c>
      <c r="L21" s="55">
        <v>0.2</v>
      </c>
      <c r="M21" s="55">
        <v>0.2</v>
      </c>
      <c r="N21" s="55">
        <v>0.2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outlineLevel="1" x14ac:dyDescent="0.25">
      <c r="A22" s="1" t="s">
        <v>166</v>
      </c>
      <c r="B22" s="27"/>
      <c r="C22" s="56"/>
      <c r="D22" s="18"/>
      <c r="E22" s="18"/>
      <c r="F22" s="18"/>
      <c r="G22" s="18"/>
      <c r="H22" s="53"/>
      <c r="I22" s="55">
        <v>0.3</v>
      </c>
      <c r="J22" s="55">
        <v>0.3</v>
      </c>
      <c r="K22" s="55">
        <v>0.3</v>
      </c>
      <c r="L22" s="55">
        <v>0.3</v>
      </c>
      <c r="M22" s="55">
        <v>0.3</v>
      </c>
      <c r="N22" s="55">
        <v>0.3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outlineLevel="1" x14ac:dyDescent="0.25">
      <c r="A23" s="1" t="s">
        <v>167</v>
      </c>
      <c r="B23" s="8"/>
      <c r="C23" s="57"/>
      <c r="D23" s="8"/>
      <c r="E23" s="8"/>
      <c r="F23" s="8"/>
      <c r="G23" s="8"/>
      <c r="H23" s="50"/>
      <c r="I23" s="4">
        <v>18</v>
      </c>
      <c r="J23" s="4">
        <v>18</v>
      </c>
      <c r="K23" s="4">
        <v>18</v>
      </c>
      <c r="L23" s="4">
        <v>18</v>
      </c>
      <c r="M23" s="4">
        <v>18</v>
      </c>
      <c r="N23" s="4">
        <v>18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outlineLevel="1" x14ac:dyDescent="0.25">
      <c r="A24" s="1" t="s">
        <v>168</v>
      </c>
      <c r="B24" s="8"/>
      <c r="C24" s="57"/>
      <c r="D24" s="8"/>
      <c r="E24" s="8"/>
      <c r="F24" s="8"/>
      <c r="G24" s="8"/>
      <c r="H24" s="50"/>
      <c r="I24" s="4">
        <v>80</v>
      </c>
      <c r="J24" s="4">
        <v>90</v>
      </c>
      <c r="K24" s="4">
        <v>100</v>
      </c>
      <c r="L24" s="4">
        <v>100</v>
      </c>
      <c r="M24" s="4">
        <v>100</v>
      </c>
      <c r="N24" s="4">
        <v>100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outlineLevel="1" x14ac:dyDescent="0.25">
      <c r="A25" s="1" t="s">
        <v>169</v>
      </c>
      <c r="B25" s="8"/>
      <c r="C25" s="57"/>
      <c r="D25" s="8"/>
      <c r="E25" s="8"/>
      <c r="F25" s="8"/>
      <c r="G25" s="8"/>
      <c r="H25" s="50"/>
      <c r="I25" s="4">
        <v>37</v>
      </c>
      <c r="J25" s="4">
        <v>37</v>
      </c>
      <c r="K25" s="4">
        <v>37</v>
      </c>
      <c r="L25" s="4">
        <v>37</v>
      </c>
      <c r="M25" s="4">
        <v>37</v>
      </c>
      <c r="N25" s="4">
        <v>37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outlineLevel="1" x14ac:dyDescent="0.25">
      <c r="A26" s="1"/>
      <c r="B26" s="8"/>
      <c r="C26" s="57"/>
      <c r="D26" s="8"/>
      <c r="E26" s="8"/>
      <c r="F26" s="8"/>
      <c r="G26" s="8"/>
      <c r="H26" s="50"/>
      <c r="I26" s="50"/>
      <c r="J26" s="50"/>
      <c r="K26" s="50"/>
      <c r="L26" s="50"/>
      <c r="M26" s="50"/>
      <c r="N26" s="50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outlineLevel="1" x14ac:dyDescent="0.25">
      <c r="A27" s="1" t="s">
        <v>170</v>
      </c>
      <c r="B27" s="8"/>
      <c r="C27" s="54"/>
      <c r="D27" s="8"/>
      <c r="E27" s="8"/>
      <c r="F27" s="8"/>
      <c r="G27" s="8"/>
      <c r="H27" s="50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outlineLevel="1" x14ac:dyDescent="0.25">
      <c r="A28" s="1" t="s">
        <v>171</v>
      </c>
      <c r="B28" s="8"/>
      <c r="C28" s="54"/>
      <c r="D28" s="8"/>
      <c r="E28" s="8"/>
      <c r="F28" s="8"/>
      <c r="G28" s="8"/>
      <c r="H28" s="50"/>
      <c r="I28" s="4">
        <v>0</v>
      </c>
      <c r="J28" s="4">
        <v>0</v>
      </c>
      <c r="K28" s="4">
        <v>0</v>
      </c>
      <c r="L28" s="4">
        <v>500</v>
      </c>
      <c r="M28" s="4">
        <v>500</v>
      </c>
      <c r="N28" s="4">
        <v>500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outlineLevel="1" x14ac:dyDescent="0.25">
      <c r="A29" s="1"/>
      <c r="B29" s="1"/>
      <c r="C29" s="2"/>
      <c r="D29" s="1"/>
      <c r="E29" s="1"/>
      <c r="F29" s="1"/>
      <c r="G29" s="1"/>
      <c r="H29" s="1"/>
      <c r="I29" s="8"/>
      <c r="J29" s="8"/>
      <c r="K29" s="8"/>
      <c r="L29" s="8"/>
      <c r="M29" s="8"/>
      <c r="N29" s="8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x14ac:dyDescent="0.25">
      <c r="A30" s="1"/>
      <c r="B30" s="1"/>
      <c r="C30" s="2"/>
      <c r="D30" s="1"/>
      <c r="E30" s="1"/>
      <c r="F30" s="1"/>
      <c r="G30" s="1"/>
      <c r="H30" s="1"/>
      <c r="I30" s="8"/>
      <c r="J30" s="8"/>
      <c r="K30" s="8"/>
      <c r="L30" s="8"/>
      <c r="M30" s="8"/>
      <c r="N30" s="8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x14ac:dyDescent="0.35">
      <c r="A31" s="88" t="s">
        <v>172</v>
      </c>
      <c r="B31" s="89"/>
      <c r="C31" s="90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outlineLevel="1" x14ac:dyDescent="0.25">
      <c r="A32" s="14"/>
      <c r="B32" s="14"/>
      <c r="C32" s="58"/>
      <c r="D32" s="51"/>
      <c r="E32" s="51"/>
      <c r="F32" s="51"/>
      <c r="G32" s="51"/>
      <c r="H32" s="51"/>
      <c r="I32" s="14"/>
      <c r="J32" s="14"/>
      <c r="K32" s="14"/>
      <c r="L32" s="14"/>
      <c r="M32" s="14"/>
      <c r="N32" s="1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outlineLevel="1" x14ac:dyDescent="0.25">
      <c r="A33" s="14" t="s">
        <v>173</v>
      </c>
      <c r="B33" s="14"/>
      <c r="C33" s="58"/>
      <c r="D33" s="24"/>
      <c r="E33" s="24"/>
      <c r="F33" s="24"/>
      <c r="G33" s="24"/>
      <c r="H33" s="24"/>
      <c r="I33" s="1">
        <f t="shared" ref="I33:N33" si="2">+I209</f>
        <v>262952.58261648746</v>
      </c>
      <c r="J33" s="1">
        <f t="shared" si="2"/>
        <v>295753.01000896061</v>
      </c>
      <c r="K33" s="1">
        <f t="shared" si="2"/>
        <v>329321.68881003588</v>
      </c>
      <c r="L33" s="1">
        <f t="shared" si="2"/>
        <v>361814.58237103949</v>
      </c>
      <c r="M33" s="1">
        <f t="shared" si="2"/>
        <v>390319.7489607227</v>
      </c>
      <c r="N33" s="1">
        <f t="shared" si="2"/>
        <v>415771.30980507005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outlineLevel="1" x14ac:dyDescent="0.25">
      <c r="A34" s="1" t="s">
        <v>174</v>
      </c>
      <c r="B34" s="1"/>
      <c r="C34" s="2"/>
      <c r="D34" s="24"/>
      <c r="E34" s="24"/>
      <c r="F34" s="24"/>
      <c r="G34" s="24"/>
      <c r="H34" s="24"/>
      <c r="I34" s="1">
        <f t="shared" ref="I34:N34" si="3">+I215</f>
        <v>110440.08469892474</v>
      </c>
      <c r="J34" s="1">
        <f t="shared" si="3"/>
        <v>123968.41650367384</v>
      </c>
      <c r="K34" s="1">
        <f t="shared" si="3"/>
        <v>137757.02680401434</v>
      </c>
      <c r="L34" s="1">
        <f t="shared" si="3"/>
        <v>152587.7584424158</v>
      </c>
      <c r="M34" s="1">
        <f t="shared" si="3"/>
        <v>167227.15502451308</v>
      </c>
      <c r="N34" s="1">
        <f t="shared" si="3"/>
        <v>178399.9772430677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outlineLevel="1" x14ac:dyDescent="0.25">
      <c r="A35" s="97" t="s">
        <v>175</v>
      </c>
      <c r="B35" s="97"/>
      <c r="C35" s="102"/>
      <c r="D35" s="97"/>
      <c r="E35" s="97"/>
      <c r="F35" s="97"/>
      <c r="G35" s="97"/>
      <c r="H35" s="97"/>
      <c r="I35" s="97">
        <f t="shared" ref="I35:N35" si="4">+I33-I34</f>
        <v>152512.49791756272</v>
      </c>
      <c r="J35" s="97">
        <f t="shared" si="4"/>
        <v>171784.59350528679</v>
      </c>
      <c r="K35" s="97">
        <f t="shared" si="4"/>
        <v>191564.66200602154</v>
      </c>
      <c r="L35" s="97">
        <f t="shared" si="4"/>
        <v>209226.82392862369</v>
      </c>
      <c r="M35" s="97">
        <f t="shared" si="4"/>
        <v>223092.59393620963</v>
      </c>
      <c r="N35" s="97">
        <f t="shared" si="4"/>
        <v>237371.33256200235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outlineLevel="1" x14ac:dyDescent="0.25">
      <c r="A36" s="14" t="s">
        <v>176</v>
      </c>
      <c r="B36" s="14"/>
      <c r="C36" s="58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outlineLevel="1" x14ac:dyDescent="0.25">
      <c r="A37" s="1" t="s">
        <v>177</v>
      </c>
      <c r="B37" s="1"/>
      <c r="C37" s="2"/>
      <c r="D37" s="24"/>
      <c r="E37" s="24"/>
      <c r="F37" s="24"/>
      <c r="G37" s="24"/>
      <c r="H37" s="24"/>
      <c r="I37" s="1">
        <v>43730.905218637999</v>
      </c>
      <c r="J37" s="1">
        <v>48505.822801433693</v>
      </c>
      <c r="K37" s="1">
        <v>53313.745529605745</v>
      </c>
      <c r="L37" s="1">
        <v>57947.718278166321</v>
      </c>
      <c r="M37" s="1">
        <v>62683.535740419633</v>
      </c>
      <c r="N37" s="1">
        <v>66921.151788984484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outlineLevel="1" x14ac:dyDescent="0.25">
      <c r="A38" s="1" t="s">
        <v>178</v>
      </c>
      <c r="B38" s="1"/>
      <c r="C38" s="2"/>
      <c r="D38" s="24"/>
      <c r="E38" s="24"/>
      <c r="F38" s="24"/>
      <c r="G38" s="24"/>
      <c r="H38" s="24"/>
      <c r="I38" s="1">
        <f t="shared" ref="I38:N38" si="5">+I227</f>
        <v>22000</v>
      </c>
      <c r="J38" s="1">
        <f t="shared" si="5"/>
        <v>21700</v>
      </c>
      <c r="K38" s="1">
        <f t="shared" si="5"/>
        <v>21350</v>
      </c>
      <c r="L38" s="1">
        <f t="shared" si="5"/>
        <v>21000</v>
      </c>
      <c r="M38" s="1">
        <f t="shared" si="5"/>
        <v>21000</v>
      </c>
      <c r="N38" s="1">
        <f t="shared" si="5"/>
        <v>21000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outlineLevel="1" x14ac:dyDescent="0.25">
      <c r="A39" s="1" t="s">
        <v>179</v>
      </c>
      <c r="B39" s="1"/>
      <c r="C39" s="2"/>
      <c r="D39" s="24"/>
      <c r="E39" s="24"/>
      <c r="F39" s="24"/>
      <c r="G39" s="24"/>
      <c r="H39" s="24"/>
      <c r="I39" s="1">
        <v>-317.27999999999884</v>
      </c>
      <c r="J39" s="1">
        <v>3896.1760000000013</v>
      </c>
      <c r="K39" s="1">
        <v>7266.9408000000012</v>
      </c>
      <c r="L39" s="1">
        <v>9963.5526400000017</v>
      </c>
      <c r="M39" s="1">
        <v>12120.842112</v>
      </c>
      <c r="N39" s="1">
        <v>13846.673689600002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outlineLevel="1" x14ac:dyDescent="0.25">
      <c r="A40" s="9" t="s">
        <v>180</v>
      </c>
      <c r="B40" s="9"/>
      <c r="C40" s="10"/>
      <c r="D40" s="24"/>
      <c r="E40" s="24"/>
      <c r="F40" s="24"/>
      <c r="G40" s="24"/>
      <c r="H40" s="24"/>
      <c r="I40" s="9">
        <v>2919.08</v>
      </c>
      <c r="J40" s="9">
        <v>3494.08</v>
      </c>
      <c r="K40" s="9">
        <v>3494.08</v>
      </c>
      <c r="L40" s="9">
        <v>1494.08</v>
      </c>
      <c r="M40" s="9">
        <v>119.07999999999993</v>
      </c>
      <c r="N40" s="9">
        <v>2181.58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outlineLevel="1" x14ac:dyDescent="0.25">
      <c r="A41" s="14" t="s">
        <v>181</v>
      </c>
      <c r="B41" s="1"/>
      <c r="C41" s="2"/>
      <c r="D41" s="110"/>
      <c r="E41" s="110"/>
      <c r="F41" s="110"/>
      <c r="G41" s="110"/>
      <c r="H41" s="110"/>
      <c r="I41" s="14">
        <f t="shared" ref="I41:N41" si="6">SUM(I37:I40)</f>
        <v>68332.705218638002</v>
      </c>
      <c r="J41" s="14">
        <f t="shared" si="6"/>
        <v>77596.078801433701</v>
      </c>
      <c r="K41" s="14">
        <f t="shared" si="6"/>
        <v>85424.766329605744</v>
      </c>
      <c r="L41" s="14">
        <f t="shared" si="6"/>
        <v>90405.350918166325</v>
      </c>
      <c r="M41" s="14">
        <f t="shared" si="6"/>
        <v>95923.45785241964</v>
      </c>
      <c r="N41" s="14">
        <f t="shared" si="6"/>
        <v>103949.40547858449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outlineLevel="1" x14ac:dyDescent="0.25">
      <c r="A42" s="97" t="s">
        <v>182</v>
      </c>
      <c r="B42" s="97"/>
      <c r="C42" s="102"/>
      <c r="D42" s="97"/>
      <c r="E42" s="97"/>
      <c r="F42" s="97"/>
      <c r="G42" s="97"/>
      <c r="H42" s="97"/>
      <c r="I42" s="97">
        <f t="shared" ref="I42:N42" si="7">+I35-I41</f>
        <v>84179.792698924721</v>
      </c>
      <c r="J42" s="97">
        <f t="shared" si="7"/>
        <v>94188.514703853085</v>
      </c>
      <c r="K42" s="97">
        <f t="shared" si="7"/>
        <v>106139.89567641579</v>
      </c>
      <c r="L42" s="97">
        <f t="shared" si="7"/>
        <v>118821.47301045737</v>
      </c>
      <c r="M42" s="97">
        <f t="shared" si="7"/>
        <v>127169.13608378998</v>
      </c>
      <c r="N42" s="97">
        <f t="shared" si="7"/>
        <v>133421.92708341786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outlineLevel="1" x14ac:dyDescent="0.25">
      <c r="A43" s="14"/>
      <c r="B43" s="14"/>
      <c r="C43" s="58"/>
      <c r="D43" s="51"/>
      <c r="E43" s="51"/>
      <c r="F43" s="51"/>
      <c r="G43" s="51"/>
      <c r="H43" s="51"/>
      <c r="I43" s="14"/>
      <c r="J43" s="14"/>
      <c r="K43" s="14"/>
      <c r="L43" s="14"/>
      <c r="M43" s="14"/>
      <c r="N43" s="14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outlineLevel="1" x14ac:dyDescent="0.25">
      <c r="A44" s="1" t="s">
        <v>183</v>
      </c>
      <c r="B44" s="1"/>
      <c r="C44" s="2"/>
      <c r="D44" s="24"/>
      <c r="E44" s="24"/>
      <c r="F44" s="24"/>
      <c r="G44" s="24"/>
      <c r="H44" s="24"/>
      <c r="I44" s="60">
        <f>I42*0.3</f>
        <v>25253.937809677416</v>
      </c>
      <c r="J44" s="60">
        <f t="shared" ref="J44:N44" si="8">J42*0.3</f>
        <v>28256.554411155925</v>
      </c>
      <c r="K44" s="60">
        <f t="shared" si="8"/>
        <v>31841.968702924736</v>
      </c>
      <c r="L44" s="60">
        <f t="shared" si="8"/>
        <v>35646.441903137209</v>
      </c>
      <c r="M44" s="60">
        <f t="shared" si="8"/>
        <v>38150.740825136992</v>
      </c>
      <c r="N44" s="60">
        <f t="shared" si="8"/>
        <v>40026.578125025357</v>
      </c>
      <c r="O44" s="60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outlineLevel="1" x14ac:dyDescent="0.25">
      <c r="A45" s="108" t="s">
        <v>184</v>
      </c>
      <c r="B45" s="108"/>
      <c r="C45" s="125"/>
      <c r="D45" s="108"/>
      <c r="E45" s="108"/>
      <c r="F45" s="108"/>
      <c r="G45" s="108"/>
      <c r="H45" s="108"/>
      <c r="I45" s="108">
        <f>I42-I44</f>
        <v>58925.854889247305</v>
      </c>
      <c r="J45" s="108">
        <f t="shared" ref="J45:N45" si="9">J42-J44</f>
        <v>65931.960292697157</v>
      </c>
      <c r="K45" s="108">
        <f t="shared" si="9"/>
        <v>74297.926973491063</v>
      </c>
      <c r="L45" s="108">
        <f t="shared" si="9"/>
        <v>83175.031107320159</v>
      </c>
      <c r="M45" s="108">
        <f t="shared" si="9"/>
        <v>89018.395258652992</v>
      </c>
      <c r="N45" s="108">
        <f t="shared" si="9"/>
        <v>93395.348958392511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outlineLevel="1" x14ac:dyDescent="0.25">
      <c r="A46" s="1"/>
      <c r="B46" s="1"/>
      <c r="C46" s="2"/>
      <c r="D46" s="8"/>
      <c r="E46" s="8"/>
      <c r="F46" s="8"/>
      <c r="G46" s="8"/>
      <c r="H46" s="8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x14ac:dyDescent="0.25">
      <c r="A47" s="1"/>
      <c r="B47" s="1"/>
      <c r="C47" s="2"/>
      <c r="D47" s="8"/>
      <c r="E47" s="8"/>
      <c r="F47" s="8"/>
      <c r="G47" s="8"/>
      <c r="H47" s="8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x14ac:dyDescent="0.35">
      <c r="A48" s="88" t="s">
        <v>185</v>
      </c>
      <c r="B48" s="89"/>
      <c r="C48" s="90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outlineLevel="1" x14ac:dyDescent="0.25">
      <c r="A49" s="1"/>
      <c r="B49" s="1"/>
      <c r="C49" s="2"/>
      <c r="D49" s="8"/>
      <c r="E49" s="8"/>
      <c r="F49" s="8"/>
      <c r="G49" s="8"/>
      <c r="H49" s="8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outlineLevel="1" x14ac:dyDescent="0.25">
      <c r="A50" s="14" t="s">
        <v>97</v>
      </c>
      <c r="B50" s="1"/>
      <c r="C50" s="2"/>
      <c r="D50" s="8"/>
      <c r="E50" s="8"/>
      <c r="F50" s="8"/>
      <c r="G50" s="8"/>
      <c r="H50" s="8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outlineLevel="1" x14ac:dyDescent="0.25">
      <c r="A51" s="1" t="s">
        <v>52</v>
      </c>
      <c r="B51" s="1"/>
      <c r="C51" s="61"/>
      <c r="D51" s="1"/>
      <c r="E51" s="1"/>
      <c r="F51" s="1"/>
      <c r="G51" s="24"/>
      <c r="H51" s="175">
        <v>615185.86199516989</v>
      </c>
      <c r="I51" s="1">
        <v>506520.50922653207</v>
      </c>
      <c r="J51" s="1">
        <v>550133.77752963989</v>
      </c>
      <c r="K51" s="1">
        <v>584039.1206662209</v>
      </c>
      <c r="L51" s="1">
        <v>651791.30054205621</v>
      </c>
      <c r="M51" s="1">
        <v>727376.65111927071</v>
      </c>
      <c r="N51" s="1">
        <v>799495.98565843853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outlineLevel="1" x14ac:dyDescent="0.25">
      <c r="A52" s="1" t="s">
        <v>98</v>
      </c>
      <c r="B52" s="1"/>
      <c r="C52" s="61"/>
      <c r="D52" s="24"/>
      <c r="E52" s="24"/>
      <c r="F52" s="24"/>
      <c r="G52" s="24"/>
      <c r="H52" s="175">
        <v>24629.057306775256</v>
      </c>
      <c r="I52" s="62">
        <f>I33*I23/365</f>
        <v>12967.524622182944</v>
      </c>
      <c r="J52" s="62">
        <f t="shared" ref="J52:N52" si="10">J33*J23/365</f>
        <v>14585.079945647372</v>
      </c>
      <c r="K52" s="62">
        <f t="shared" si="10"/>
        <v>16240.521639946975</v>
      </c>
      <c r="L52" s="62">
        <f t="shared" si="10"/>
        <v>17842.910911448522</v>
      </c>
      <c r="M52" s="62">
        <f t="shared" si="10"/>
        <v>19248.645154227423</v>
      </c>
      <c r="N52" s="62">
        <f t="shared" si="10"/>
        <v>20503.790620524003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outlineLevel="1" x14ac:dyDescent="0.25">
      <c r="A53" s="1" t="s">
        <v>99</v>
      </c>
      <c r="B53" s="1"/>
      <c r="C53" s="61"/>
      <c r="D53" s="24"/>
      <c r="E53" s="24"/>
      <c r="F53" s="24"/>
      <c r="G53" s="24"/>
      <c r="H53" s="175">
        <v>-127126.96643596876</v>
      </c>
      <c r="I53" s="60">
        <f>I34*I24/365</f>
        <v>24206.045961408163</v>
      </c>
      <c r="J53" s="60">
        <f t="shared" ref="J53:N53" si="11">J34*J24/365</f>
        <v>30567.554754330533</v>
      </c>
      <c r="K53" s="60">
        <f t="shared" si="11"/>
        <v>37741.651179182008</v>
      </c>
      <c r="L53" s="60">
        <f t="shared" si="11"/>
        <v>41804.865326689258</v>
      </c>
      <c r="M53" s="60">
        <f t="shared" si="11"/>
        <v>45815.658910825499</v>
      </c>
      <c r="N53" s="60">
        <f t="shared" si="11"/>
        <v>48876.706093991146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outlineLevel="1" x14ac:dyDescent="0.25">
      <c r="A54" s="126" t="s">
        <v>100</v>
      </c>
      <c r="B54" s="94"/>
      <c r="C54" s="127"/>
      <c r="D54" s="97"/>
      <c r="E54" s="97"/>
      <c r="F54" s="97"/>
      <c r="G54" s="97"/>
      <c r="H54" s="97">
        <f t="shared" ref="H54:N54" si="12">SUM(H51:H53)</f>
        <v>512687.95286597637</v>
      </c>
      <c r="I54" s="97">
        <f t="shared" si="12"/>
        <v>543694.07981012319</v>
      </c>
      <c r="J54" s="97">
        <f t="shared" si="12"/>
        <v>595286.41222961782</v>
      </c>
      <c r="K54" s="97">
        <f t="shared" si="12"/>
        <v>638021.29348534986</v>
      </c>
      <c r="L54" s="97">
        <f t="shared" si="12"/>
        <v>711439.07678019395</v>
      </c>
      <c r="M54" s="97">
        <f t="shared" si="12"/>
        <v>792440.9551843236</v>
      </c>
      <c r="N54" s="97">
        <f t="shared" si="12"/>
        <v>868876.48237295367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outlineLevel="1" x14ac:dyDescent="0.25">
      <c r="A55" s="1" t="s">
        <v>101</v>
      </c>
      <c r="B55" s="1"/>
      <c r="C55" s="2"/>
      <c r="D55" s="24"/>
      <c r="E55" s="24"/>
      <c r="F55" s="24"/>
      <c r="G55" s="24"/>
      <c r="H55" s="94">
        <v>-1586.3999999999942</v>
      </c>
      <c r="I55" s="94">
        <v>19480.880000000005</v>
      </c>
      <c r="J55" s="94">
        <v>36334.704000000005</v>
      </c>
      <c r="K55" s="94">
        <v>49817.763200000001</v>
      </c>
      <c r="L55" s="94">
        <v>60604.21056</v>
      </c>
      <c r="M55" s="94">
        <v>69233.368448000008</v>
      </c>
      <c r="N55" s="94">
        <v>76136.694758400001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outlineLevel="1" x14ac:dyDescent="0.25">
      <c r="A56" s="1" t="s">
        <v>102</v>
      </c>
      <c r="B56" s="1"/>
      <c r="C56" s="2"/>
      <c r="D56" s="24"/>
      <c r="E56" s="24"/>
      <c r="F56" s="24"/>
      <c r="G56" s="24"/>
      <c r="H56" s="175">
        <v>468051.25947789033</v>
      </c>
      <c r="I56" s="1">
        <v>468051</v>
      </c>
      <c r="J56" s="1">
        <v>468051</v>
      </c>
      <c r="K56" s="1">
        <v>468051</v>
      </c>
      <c r="L56" s="1">
        <v>468051</v>
      </c>
      <c r="M56" s="1">
        <v>468051</v>
      </c>
      <c r="N56" s="1">
        <v>468051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outlineLevel="1" thickBot="1" x14ac:dyDescent="0.3">
      <c r="A57" s="108" t="s">
        <v>103</v>
      </c>
      <c r="B57" s="108"/>
      <c r="C57" s="125"/>
      <c r="D57" s="108"/>
      <c r="E57" s="108"/>
      <c r="F57" s="108"/>
      <c r="G57" s="108"/>
      <c r="H57" s="108">
        <v>979152.81234386668</v>
      </c>
      <c r="I57" s="108">
        <f>SUM(I54:I56)</f>
        <v>1031225.9598101232</v>
      </c>
      <c r="J57" s="108">
        <f t="shared" ref="J57:N57" si="13">SUM(J54:J56)</f>
        <v>1099672.116229618</v>
      </c>
      <c r="K57" s="108">
        <f t="shared" si="13"/>
        <v>1155890.0566853499</v>
      </c>
      <c r="L57" s="108">
        <f t="shared" si="13"/>
        <v>1240094.287340194</v>
      </c>
      <c r="M57" s="108">
        <f t="shared" si="13"/>
        <v>1329725.3236323236</v>
      </c>
      <c r="N57" s="108">
        <f t="shared" si="13"/>
        <v>1413064.1771313536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outlineLevel="1" thickTop="1" x14ac:dyDescent="0.25">
      <c r="A58" s="14"/>
      <c r="B58" s="14"/>
      <c r="C58" s="58"/>
      <c r="D58" s="51"/>
      <c r="E58" s="51"/>
      <c r="F58" s="14"/>
      <c r="G58" s="14"/>
      <c r="H58" s="14"/>
      <c r="I58" s="14"/>
      <c r="J58" s="14"/>
      <c r="K58" s="14"/>
      <c r="L58" s="14"/>
      <c r="M58" s="14"/>
      <c r="N58" s="14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outlineLevel="1" x14ac:dyDescent="0.25">
      <c r="A59" s="14" t="s">
        <v>104</v>
      </c>
      <c r="B59" s="1"/>
      <c r="C59" s="61"/>
      <c r="D59" s="8"/>
      <c r="E59" s="8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outlineLevel="1" x14ac:dyDescent="0.25">
      <c r="A60" s="63" t="s">
        <v>105</v>
      </c>
      <c r="B60" s="1"/>
      <c r="C60" s="61"/>
      <c r="D60" s="24"/>
      <c r="E60" s="24"/>
      <c r="F60" s="24"/>
      <c r="G60" s="24"/>
      <c r="H60" s="24"/>
      <c r="I60" s="98"/>
      <c r="J60" s="98"/>
      <c r="K60" s="98"/>
      <c r="L60" s="98"/>
      <c r="M60" s="98"/>
      <c r="N60" s="98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outlineLevel="1" x14ac:dyDescent="0.25">
      <c r="A61" s="1" t="s">
        <v>106</v>
      </c>
      <c r="B61" s="1"/>
      <c r="C61" s="61"/>
      <c r="D61" s="24"/>
      <c r="E61" s="24"/>
      <c r="F61" s="24"/>
      <c r="G61" s="24"/>
      <c r="H61" s="175">
        <v>19966.288202251784</v>
      </c>
      <c r="I61" s="60">
        <f>I34*I25/365</f>
        <v>11195.296257151274</v>
      </c>
      <c r="J61" s="60">
        <f t="shared" ref="J61:N61" si="14">J34*J25/365</f>
        <v>12566.661399002554</v>
      </c>
      <c r="K61" s="60">
        <f t="shared" si="14"/>
        <v>13964.410936297343</v>
      </c>
      <c r="L61" s="60">
        <f t="shared" si="14"/>
        <v>15467.800170875027</v>
      </c>
      <c r="M61" s="60">
        <f t="shared" si="14"/>
        <v>16951.793797005434</v>
      </c>
      <c r="N61" s="60">
        <f t="shared" si="14"/>
        <v>18084.381254776727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outlineLevel="1" x14ac:dyDescent="0.25">
      <c r="A62" s="126" t="s">
        <v>107</v>
      </c>
      <c r="B62" s="97"/>
      <c r="C62" s="128"/>
      <c r="D62" s="97"/>
      <c r="E62" s="97"/>
      <c r="F62" s="97"/>
      <c r="G62" s="97"/>
      <c r="H62" s="97">
        <v>19966.288202251784</v>
      </c>
      <c r="I62" s="97">
        <f t="shared" ref="I62:N62" si="15">SUM(I60:I61)</f>
        <v>11195.296257151274</v>
      </c>
      <c r="J62" s="97">
        <f t="shared" si="15"/>
        <v>12566.661399002554</v>
      </c>
      <c r="K62" s="97">
        <f t="shared" si="15"/>
        <v>13964.410936297343</v>
      </c>
      <c r="L62" s="97">
        <f t="shared" si="15"/>
        <v>15467.800170875027</v>
      </c>
      <c r="M62" s="97">
        <f t="shared" si="15"/>
        <v>16951.793797005434</v>
      </c>
      <c r="N62" s="97">
        <f t="shared" si="15"/>
        <v>18084.381254776727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outlineLevel="1" x14ac:dyDescent="0.25">
      <c r="A63" s="1" t="s">
        <v>108</v>
      </c>
      <c r="B63" s="1"/>
      <c r="C63" s="2"/>
      <c r="D63" s="24"/>
      <c r="E63" s="24"/>
      <c r="F63" s="24"/>
      <c r="G63" s="24"/>
      <c r="H63" s="175">
        <v>26801</v>
      </c>
      <c r="I63" s="1">
        <v>16801</v>
      </c>
      <c r="J63" s="1">
        <v>16801</v>
      </c>
      <c r="K63" s="1">
        <v>-3199</v>
      </c>
      <c r="L63" s="1">
        <v>-3199</v>
      </c>
      <c r="M63" s="1">
        <v>-3199</v>
      </c>
      <c r="N63" s="1">
        <v>-13199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outlineLevel="1" x14ac:dyDescent="0.25">
      <c r="A64" s="97" t="s">
        <v>109</v>
      </c>
      <c r="B64" s="97"/>
      <c r="C64" s="102"/>
      <c r="D64" s="97"/>
      <c r="E64" s="97"/>
      <c r="F64" s="97"/>
      <c r="G64" s="97"/>
      <c r="H64" s="97">
        <v>46767.288202251788</v>
      </c>
      <c r="I64" s="97">
        <f t="shared" ref="I64:N64" si="16">+I62+I63</f>
        <v>27996.296257151276</v>
      </c>
      <c r="J64" s="97">
        <f t="shared" si="16"/>
        <v>29367.661399002554</v>
      </c>
      <c r="K64" s="97">
        <f t="shared" si="16"/>
        <v>10765.410936297343</v>
      </c>
      <c r="L64" s="97">
        <f t="shared" si="16"/>
        <v>12268.800170875027</v>
      </c>
      <c r="M64" s="97">
        <f t="shared" si="16"/>
        <v>13752.793797005434</v>
      </c>
      <c r="N64" s="97">
        <f t="shared" si="16"/>
        <v>4885.3812547767266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outlineLevel="1" x14ac:dyDescent="0.25">
      <c r="A65" s="14" t="s">
        <v>110</v>
      </c>
      <c r="B65" s="1"/>
      <c r="C65" s="2"/>
      <c r="D65" s="8"/>
      <c r="E65" s="8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outlineLevel="1" x14ac:dyDescent="0.25">
      <c r="A66" s="1" t="s">
        <v>111</v>
      </c>
      <c r="B66" s="1"/>
      <c r="C66" s="2"/>
      <c r="D66" s="24"/>
      <c r="E66" s="24"/>
      <c r="F66" s="24"/>
      <c r="G66" s="24"/>
      <c r="H66" s="175">
        <v>567375</v>
      </c>
      <c r="I66" s="1">
        <f t="shared" ref="I66:N66" si="17">+H66+I27</f>
        <v>567375</v>
      </c>
      <c r="J66" s="1">
        <f t="shared" si="17"/>
        <v>567375</v>
      </c>
      <c r="K66" s="1">
        <f t="shared" si="17"/>
        <v>567375</v>
      </c>
      <c r="L66" s="1">
        <f t="shared" si="17"/>
        <v>567375</v>
      </c>
      <c r="M66" s="1">
        <f t="shared" si="17"/>
        <v>567375</v>
      </c>
      <c r="N66" s="1">
        <f t="shared" si="17"/>
        <v>567375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outlineLevel="1" x14ac:dyDescent="0.25">
      <c r="A67" s="1" t="s">
        <v>112</v>
      </c>
      <c r="B67" s="1"/>
      <c r="C67" s="2"/>
      <c r="D67" s="24"/>
      <c r="E67" s="24"/>
      <c r="F67" s="24"/>
      <c r="G67" s="24"/>
      <c r="H67" s="175">
        <v>365011.02938189439</v>
      </c>
      <c r="I67" s="1">
        <f>H67+I45-I28</f>
        <v>423936.88427114172</v>
      </c>
      <c r="J67" s="1">
        <f t="shared" ref="J67:N67" si="18">I67+J45-J28</f>
        <v>489868.84456383891</v>
      </c>
      <c r="K67" s="1">
        <f t="shared" si="18"/>
        <v>564166.77153733</v>
      </c>
      <c r="L67" s="1">
        <f t="shared" si="18"/>
        <v>646841.80264465022</v>
      </c>
      <c r="M67" s="1">
        <f t="shared" si="18"/>
        <v>735360.1979033032</v>
      </c>
      <c r="N67" s="1">
        <f t="shared" si="18"/>
        <v>828255.54686169571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outlineLevel="1" x14ac:dyDescent="0.25">
      <c r="A68" s="110" t="s">
        <v>110</v>
      </c>
      <c r="B68" s="110"/>
      <c r="C68" s="113"/>
      <c r="D68" s="110"/>
      <c r="E68" s="110"/>
      <c r="F68" s="110"/>
      <c r="G68" s="110"/>
      <c r="H68" s="110">
        <v>932386.02938189439</v>
      </c>
      <c r="I68" s="110">
        <f t="shared" ref="I68:N68" si="19">SUM(I66:I67)</f>
        <v>991311.88427114172</v>
      </c>
      <c r="J68" s="110">
        <f t="shared" si="19"/>
        <v>1057243.844563839</v>
      </c>
      <c r="K68" s="110">
        <f t="shared" si="19"/>
        <v>1131541.77153733</v>
      </c>
      <c r="L68" s="110">
        <f t="shared" si="19"/>
        <v>1214216.8026446502</v>
      </c>
      <c r="M68" s="110">
        <f t="shared" si="19"/>
        <v>1302735.1979033032</v>
      </c>
      <c r="N68" s="110">
        <f t="shared" si="19"/>
        <v>1395630.5468616956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outlineLevel="1" x14ac:dyDescent="0.25">
      <c r="A69" s="108" t="s">
        <v>113</v>
      </c>
      <c r="B69" s="108"/>
      <c r="C69" s="125"/>
      <c r="D69" s="108"/>
      <c r="E69" s="108"/>
      <c r="F69" s="108"/>
      <c r="G69" s="108"/>
      <c r="H69" s="108">
        <v>979153.31758414616</v>
      </c>
      <c r="I69" s="108">
        <f>I68+I64</f>
        <v>1019308.180528293</v>
      </c>
      <c r="J69" s="108">
        <f>J64+J68</f>
        <v>1086611.5059628417</v>
      </c>
      <c r="K69" s="108">
        <f>K64+K68</f>
        <v>1142307.1824736274</v>
      </c>
      <c r="L69" s="108">
        <f>L64+L68</f>
        <v>1226485.6028155251</v>
      </c>
      <c r="M69" s="108">
        <f>M64+M68</f>
        <v>1316487.9917003086</v>
      </c>
      <c r="N69" s="108">
        <f>N64+N68</f>
        <v>1400515.9281164722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outlineLevel="1" x14ac:dyDescent="0.25">
      <c r="A70" s="1"/>
      <c r="B70" s="1"/>
      <c r="C70" s="2"/>
      <c r="D70" s="8"/>
      <c r="E70" s="8"/>
      <c r="F70" s="8"/>
      <c r="G70" s="8"/>
      <c r="H70" s="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outlineLevel="1" x14ac:dyDescent="0.25">
      <c r="A71" s="25" t="s">
        <v>114</v>
      </c>
      <c r="B71" s="64"/>
      <c r="C71" s="65"/>
      <c r="D71" s="64"/>
      <c r="E71" s="64"/>
      <c r="F71" s="64"/>
      <c r="G71" s="64"/>
      <c r="H71" s="64">
        <f>H69-H57</f>
        <v>0.50524027948267758</v>
      </c>
      <c r="I71" s="64">
        <f t="shared" ref="I71:N71" si="20">I69-I57</f>
        <v>-11917.779281830182</v>
      </c>
      <c r="J71" s="64">
        <f t="shared" si="20"/>
        <v>-13060.61026677629</v>
      </c>
      <c r="K71" s="64">
        <f t="shared" si="20"/>
        <v>-13582.874211722519</v>
      </c>
      <c r="L71" s="64">
        <f t="shared" si="20"/>
        <v>-13608.684524668846</v>
      </c>
      <c r="M71" s="64">
        <f t="shared" si="20"/>
        <v>-13237.331932015019</v>
      </c>
      <c r="N71" s="64">
        <f t="shared" si="20"/>
        <v>-12548.24901488144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outlineLevel="1" x14ac:dyDescent="0.25">
      <c r="A72" s="64"/>
      <c r="B72" s="64"/>
      <c r="C72" s="65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x14ac:dyDescent="0.25">
      <c r="A73" s="1"/>
      <c r="B73" s="1"/>
      <c r="C73" s="2"/>
      <c r="D73" s="8"/>
      <c r="E73" s="8"/>
      <c r="F73" s="8"/>
      <c r="G73" s="8"/>
      <c r="H73" s="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x14ac:dyDescent="0.35">
      <c r="A74" s="88" t="s">
        <v>186</v>
      </c>
      <c r="B74" s="89"/>
      <c r="C74" s="90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outlineLevel="1" x14ac:dyDescent="0.25">
      <c r="A75" s="14"/>
      <c r="B75" s="1"/>
      <c r="C75" s="2"/>
      <c r="D75" s="51"/>
      <c r="E75" s="8"/>
      <c r="F75" s="8"/>
      <c r="G75" s="8"/>
      <c r="H75" s="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outlineLevel="1" x14ac:dyDescent="0.25">
      <c r="A76" s="14" t="s">
        <v>187</v>
      </c>
      <c r="B76" s="1"/>
      <c r="C76" s="2"/>
      <c r="D76" s="8"/>
      <c r="E76" s="8"/>
      <c r="F76" s="8"/>
      <c r="G76" s="8"/>
      <c r="H76" s="2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outlineLevel="1" x14ac:dyDescent="0.25">
      <c r="A77" s="1" t="s">
        <v>184</v>
      </c>
      <c r="B77" s="1"/>
      <c r="C77" s="66"/>
      <c r="D77" s="1"/>
      <c r="E77" s="1"/>
      <c r="F77" s="1"/>
      <c r="G77" s="1"/>
      <c r="H77" s="1"/>
      <c r="I77" s="1">
        <v>47915.918889247303</v>
      </c>
      <c r="J77" s="1">
        <v>56732.007277643395</v>
      </c>
      <c r="K77" s="1">
        <v>66545.963718437284</v>
      </c>
      <c r="L77" s="1">
        <v>76581.45966026641</v>
      </c>
      <c r="M77" s="1">
        <v>83351.53725799924</v>
      </c>
      <c r="N77" s="1">
        <v>88469.861714858751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outlineLevel="1" x14ac:dyDescent="0.25">
      <c r="A78" s="1" t="s">
        <v>188</v>
      </c>
      <c r="B78" s="1"/>
      <c r="C78" s="2"/>
      <c r="D78" s="1"/>
      <c r="E78" s="1"/>
      <c r="F78" s="1"/>
      <c r="G78" s="1"/>
      <c r="H78" s="1"/>
      <c r="I78" s="1">
        <v>12611.2</v>
      </c>
      <c r="J78" s="1">
        <v>14238.960000000001</v>
      </c>
      <c r="K78" s="1">
        <v>15541.168</v>
      </c>
      <c r="L78" s="1">
        <v>16582.934399999998</v>
      </c>
      <c r="M78" s="1">
        <v>17416.347519999999</v>
      </c>
      <c r="N78" s="1">
        <v>18083.078015999999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outlineLevel="1" x14ac:dyDescent="0.25">
      <c r="A79" s="1" t="s">
        <v>189</v>
      </c>
      <c r="B79" s="1"/>
      <c r="C79" s="2"/>
      <c r="D79" s="1"/>
      <c r="E79" s="1"/>
      <c r="F79" s="1"/>
      <c r="G79" s="1"/>
      <c r="H79" s="1"/>
      <c r="I79" s="1">
        <v>148442.47165788512</v>
      </c>
      <c r="J79" s="1">
        <v>6607.6989745355204</v>
      </c>
      <c r="K79" s="1">
        <v>7431.7885818562972</v>
      </c>
      <c r="L79" s="1">
        <v>4162.2141844311118</v>
      </c>
      <c r="M79" s="1">
        <v>3932.5342007847285</v>
      </c>
      <c r="N79" s="1">
        <v>3183.6051916909273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outlineLevel="1" x14ac:dyDescent="0.25">
      <c r="A80" s="97" t="s">
        <v>190</v>
      </c>
      <c r="B80" s="94"/>
      <c r="C80" s="100"/>
      <c r="D80" s="97"/>
      <c r="E80" s="97"/>
      <c r="F80" s="97"/>
      <c r="G80" s="97"/>
      <c r="H80" s="97"/>
      <c r="I80" s="97">
        <f>I77+I78-I79</f>
        <v>-87915.352768637822</v>
      </c>
      <c r="J80" s="97">
        <f t="shared" ref="J80:N80" si="21">J77+J78-J79</f>
        <v>64363.268303107878</v>
      </c>
      <c r="K80" s="97">
        <f t="shared" si="21"/>
        <v>74655.343136580996</v>
      </c>
      <c r="L80" s="97">
        <f t="shared" si="21"/>
        <v>89002.179875835296</v>
      </c>
      <c r="M80" s="97">
        <f t="shared" si="21"/>
        <v>96835.3505772145</v>
      </c>
      <c r="N80" s="97">
        <f t="shared" si="21"/>
        <v>103369.33453916782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outlineLevel="1" x14ac:dyDescent="0.25">
      <c r="A81" s="14"/>
      <c r="B81" s="1"/>
      <c r="C81" s="2"/>
      <c r="D81" s="51"/>
      <c r="E81" s="51"/>
      <c r="F81" s="51"/>
      <c r="G81" s="51"/>
      <c r="H81" s="14"/>
      <c r="I81" s="14"/>
      <c r="J81" s="14"/>
      <c r="K81" s="14"/>
      <c r="L81" s="14"/>
      <c r="M81" s="14"/>
      <c r="N81" s="14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outlineLevel="1" x14ac:dyDescent="0.25">
      <c r="A82" s="14" t="s">
        <v>191</v>
      </c>
      <c r="B82" s="1"/>
      <c r="C82" s="2"/>
      <c r="D82" s="8"/>
      <c r="E82" s="8"/>
      <c r="F82" s="8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outlineLevel="1" x14ac:dyDescent="0.25">
      <c r="A83" s="1" t="s">
        <v>192</v>
      </c>
      <c r="B83" s="1"/>
      <c r="C83" s="2"/>
      <c r="D83" s="1"/>
      <c r="E83" s="1"/>
      <c r="F83" s="1"/>
      <c r="G83" s="1"/>
      <c r="H83" s="1"/>
      <c r="I83" s="1">
        <f t="shared" ref="I83:N83" si="22">-I110</f>
        <v>-20750</v>
      </c>
      <c r="J83" s="1">
        <f t="shared" si="22"/>
        <v>-20750</v>
      </c>
      <c r="K83" s="1">
        <f t="shared" si="22"/>
        <v>-20750</v>
      </c>
      <c r="L83" s="1">
        <f t="shared" si="22"/>
        <v>-20750</v>
      </c>
      <c r="M83" s="1">
        <f t="shared" si="22"/>
        <v>-20750</v>
      </c>
      <c r="N83" s="1">
        <f t="shared" si="22"/>
        <v>-20750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outlineLevel="1" x14ac:dyDescent="0.25">
      <c r="A84" s="1" t="s">
        <v>193</v>
      </c>
      <c r="B84" s="1"/>
      <c r="C84" s="2"/>
      <c r="D84" s="1"/>
      <c r="E84" s="1"/>
      <c r="F84" s="1"/>
      <c r="G84" s="1"/>
      <c r="H84" s="1"/>
      <c r="I84" s="98"/>
      <c r="J84" s="98"/>
      <c r="K84" s="98"/>
      <c r="L84" s="98"/>
      <c r="M84" s="98"/>
      <c r="N84" s="98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outlineLevel="1" x14ac:dyDescent="0.25">
      <c r="A85" s="97" t="s">
        <v>194</v>
      </c>
      <c r="B85" s="94"/>
      <c r="C85" s="100"/>
      <c r="D85" s="97"/>
      <c r="E85" s="97"/>
      <c r="F85" s="97"/>
      <c r="G85" s="97"/>
      <c r="H85" s="97"/>
      <c r="I85" s="97">
        <f t="shared" ref="I85:N85" si="23">SUM(I83:I84)</f>
        <v>-20750</v>
      </c>
      <c r="J85" s="97">
        <f t="shared" si="23"/>
        <v>-20750</v>
      </c>
      <c r="K85" s="97">
        <f t="shared" si="23"/>
        <v>-20750</v>
      </c>
      <c r="L85" s="97">
        <f t="shared" si="23"/>
        <v>-20750</v>
      </c>
      <c r="M85" s="97">
        <f t="shared" si="23"/>
        <v>-20750</v>
      </c>
      <c r="N85" s="97">
        <f t="shared" si="23"/>
        <v>-20750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outlineLevel="1" x14ac:dyDescent="0.25">
      <c r="A86" s="14"/>
      <c r="B86" s="1"/>
      <c r="C86" s="2"/>
      <c r="D86" s="51"/>
      <c r="E86" s="51"/>
      <c r="F86" s="51"/>
      <c r="G86" s="51"/>
      <c r="H86" s="14"/>
      <c r="I86" s="14"/>
      <c r="J86" s="14"/>
      <c r="K86" s="14"/>
      <c r="L86" s="14"/>
      <c r="M86" s="14"/>
      <c r="N86" s="14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outlineLevel="1" x14ac:dyDescent="0.25">
      <c r="A87" s="14" t="s">
        <v>195</v>
      </c>
      <c r="B87" s="1"/>
      <c r="C87" s="2"/>
      <c r="D87" s="8"/>
      <c r="E87" s="8"/>
      <c r="F87" s="8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outlineLevel="1" x14ac:dyDescent="0.25">
      <c r="A88" s="1" t="s">
        <v>196</v>
      </c>
      <c r="B88" s="1"/>
      <c r="C88" s="2"/>
      <c r="D88" s="1"/>
      <c r="E88" s="1"/>
      <c r="F88" s="1"/>
      <c r="G88" s="1"/>
      <c r="H88" s="1"/>
      <c r="I88" s="1">
        <f t="shared" ref="I88:N88" si="24">I142</f>
        <v>0</v>
      </c>
      <c r="J88" s="1">
        <f t="shared" si="24"/>
        <v>0</v>
      </c>
      <c r="K88" s="1">
        <f t="shared" si="24"/>
        <v>-20000</v>
      </c>
      <c r="L88" s="1">
        <f t="shared" si="24"/>
        <v>0</v>
      </c>
      <c r="M88" s="1">
        <f t="shared" si="24"/>
        <v>0</v>
      </c>
      <c r="N88" s="1">
        <f t="shared" si="24"/>
        <v>-10000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outlineLevel="1" x14ac:dyDescent="0.25">
      <c r="A89" s="1" t="s">
        <v>197</v>
      </c>
      <c r="B89" s="1"/>
      <c r="C89" s="2"/>
      <c r="D89" s="24"/>
      <c r="E89" s="24"/>
      <c r="F89" s="24"/>
      <c r="G89" s="24"/>
      <c r="H89" s="1"/>
      <c r="I89" s="1">
        <f t="shared" ref="I89:N89" si="25">+I27</f>
        <v>0</v>
      </c>
      <c r="J89" s="1">
        <f t="shared" si="25"/>
        <v>0</v>
      </c>
      <c r="K89" s="1">
        <f t="shared" si="25"/>
        <v>0</v>
      </c>
      <c r="L89" s="1">
        <f t="shared" si="25"/>
        <v>0</v>
      </c>
      <c r="M89" s="1">
        <f t="shared" si="25"/>
        <v>0</v>
      </c>
      <c r="N89" s="1">
        <f t="shared" si="25"/>
        <v>0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outlineLevel="1" x14ac:dyDescent="0.25">
      <c r="A90" s="1" t="s">
        <v>198</v>
      </c>
      <c r="B90" s="1"/>
      <c r="C90" s="2"/>
      <c r="D90" s="24"/>
      <c r="E90" s="24"/>
      <c r="F90" s="24"/>
      <c r="G90" s="24"/>
      <c r="H90" s="1"/>
      <c r="I90" s="1">
        <f t="shared" ref="I90:N90" si="26">-I28</f>
        <v>0</v>
      </c>
      <c r="J90" s="1">
        <f t="shared" si="26"/>
        <v>0</v>
      </c>
      <c r="K90" s="1">
        <f t="shared" si="26"/>
        <v>0</v>
      </c>
      <c r="L90" s="1">
        <f t="shared" si="26"/>
        <v>-500</v>
      </c>
      <c r="M90" s="1">
        <f t="shared" si="26"/>
        <v>-500</v>
      </c>
      <c r="N90" s="1">
        <f t="shared" si="26"/>
        <v>-500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outlineLevel="1" x14ac:dyDescent="0.25">
      <c r="A91" s="97" t="s">
        <v>199</v>
      </c>
      <c r="B91" s="94"/>
      <c r="C91" s="100"/>
      <c r="D91" s="97"/>
      <c r="E91" s="97"/>
      <c r="F91" s="97"/>
      <c r="G91" s="97"/>
      <c r="H91" s="97"/>
      <c r="I91" s="97">
        <f t="shared" ref="I91:N91" si="27">SUM(I88:I90)</f>
        <v>0</v>
      </c>
      <c r="J91" s="97">
        <f t="shared" si="27"/>
        <v>0</v>
      </c>
      <c r="K91" s="97">
        <f t="shared" si="27"/>
        <v>-20000</v>
      </c>
      <c r="L91" s="97">
        <f t="shared" si="27"/>
        <v>-500</v>
      </c>
      <c r="M91" s="97">
        <f t="shared" si="27"/>
        <v>-500</v>
      </c>
      <c r="N91" s="97">
        <f t="shared" si="27"/>
        <v>-10500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outlineLevel="1" x14ac:dyDescent="0.25">
      <c r="A92" s="14"/>
      <c r="B92" s="1"/>
      <c r="C92" s="2"/>
      <c r="D92" s="51"/>
      <c r="E92" s="51"/>
      <c r="F92" s="51"/>
      <c r="G92" s="51"/>
      <c r="H92" s="14"/>
      <c r="I92" s="14"/>
      <c r="J92" s="14"/>
      <c r="K92" s="14"/>
      <c r="L92" s="14"/>
      <c r="M92" s="14"/>
      <c r="N92" s="1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outlineLevel="1" x14ac:dyDescent="0.25">
      <c r="A93" s="1" t="s">
        <v>200</v>
      </c>
      <c r="B93" s="1"/>
      <c r="C93" s="2"/>
      <c r="D93" s="1"/>
      <c r="E93" s="1"/>
      <c r="F93" s="1"/>
      <c r="G93" s="1"/>
      <c r="H93" s="1"/>
      <c r="I93" s="1">
        <f>SUM(I80+I85+I91)</f>
        <v>-108665.35276863782</v>
      </c>
      <c r="J93" s="1">
        <f t="shared" ref="J93:N93" si="28">SUM(J80+J85+J91)</f>
        <v>43613.268303107878</v>
      </c>
      <c r="K93" s="1">
        <f t="shared" si="28"/>
        <v>33905.343136580996</v>
      </c>
      <c r="L93" s="1">
        <f t="shared" si="28"/>
        <v>67752.179875835296</v>
      </c>
      <c r="M93" s="1">
        <f t="shared" si="28"/>
        <v>75585.3505772145</v>
      </c>
      <c r="N93" s="1">
        <f t="shared" si="28"/>
        <v>72119.334539167816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outlineLevel="1" x14ac:dyDescent="0.25">
      <c r="A94" s="1" t="s">
        <v>201</v>
      </c>
      <c r="B94" s="1"/>
      <c r="C94" s="2"/>
      <c r="D94" s="24"/>
      <c r="E94" s="1"/>
      <c r="F94" s="1"/>
      <c r="G94" s="1"/>
      <c r="H94" s="1"/>
      <c r="I94" s="1">
        <f t="shared" ref="I94:N94" si="29">+H95</f>
        <v>615185.86199516989</v>
      </c>
      <c r="J94" s="1">
        <f t="shared" si="29"/>
        <v>506520.50922653207</v>
      </c>
      <c r="K94" s="1">
        <f t="shared" si="29"/>
        <v>550133.77752963989</v>
      </c>
      <c r="L94" s="1">
        <f t="shared" si="29"/>
        <v>584039.1206662209</v>
      </c>
      <c r="M94" s="1">
        <f t="shared" si="29"/>
        <v>651791.30054205621</v>
      </c>
      <c r="N94" s="1">
        <f t="shared" si="29"/>
        <v>727376.65111927071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outlineLevel="1" x14ac:dyDescent="0.25">
      <c r="A95" s="97" t="s">
        <v>202</v>
      </c>
      <c r="B95" s="94"/>
      <c r="C95" s="100"/>
      <c r="D95" s="97"/>
      <c r="E95" s="97"/>
      <c r="F95" s="97"/>
      <c r="G95" s="97"/>
      <c r="H95" s="97">
        <f>H51</f>
        <v>615185.86199516989</v>
      </c>
      <c r="I95" s="97">
        <f t="shared" ref="I95:N95" si="30">SUM(I93:I94)</f>
        <v>506520.50922653207</v>
      </c>
      <c r="J95" s="97">
        <f t="shared" si="30"/>
        <v>550133.77752963989</v>
      </c>
      <c r="K95" s="97">
        <f t="shared" si="30"/>
        <v>584039.1206662209</v>
      </c>
      <c r="L95" s="97">
        <f t="shared" si="30"/>
        <v>651791.30054205621</v>
      </c>
      <c r="M95" s="97">
        <f t="shared" si="30"/>
        <v>727376.65111927071</v>
      </c>
      <c r="N95" s="97">
        <f t="shared" si="30"/>
        <v>799495.98565843853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outlineLevel="1" x14ac:dyDescent="0.25">
      <c r="A96" s="14"/>
      <c r="B96" s="1"/>
      <c r="C96" s="2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outlineLevel="1" x14ac:dyDescent="0.25">
      <c r="A97" s="14"/>
      <c r="B97" s="1"/>
      <c r="C97" s="2"/>
      <c r="D97" s="51"/>
      <c r="E97" s="8"/>
      <c r="F97" s="8"/>
      <c r="G97" s="8"/>
      <c r="H97" s="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x14ac:dyDescent="0.25">
      <c r="A98" s="1"/>
      <c r="B98" s="1"/>
      <c r="C98" s="2"/>
      <c r="D98" s="8"/>
      <c r="E98" s="8"/>
      <c r="F98" s="8"/>
      <c r="G98" s="8"/>
      <c r="H98" s="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x14ac:dyDescent="0.35">
      <c r="A99" s="88" t="s">
        <v>203</v>
      </c>
      <c r="B99" s="89"/>
      <c r="C99" s="90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outlineLevel="1" x14ac:dyDescent="0.25">
      <c r="A100" s="1"/>
      <c r="B100" s="1"/>
      <c r="C100" s="2"/>
      <c r="D100" s="8"/>
      <c r="E100" s="8"/>
      <c r="F100" s="8"/>
      <c r="G100" s="8"/>
      <c r="H100" s="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outlineLevel="1" x14ac:dyDescent="0.25">
      <c r="A101" s="14" t="s">
        <v>204</v>
      </c>
      <c r="B101" s="1"/>
      <c r="C101" s="2"/>
      <c r="D101" s="8"/>
      <c r="E101" s="8"/>
      <c r="F101" s="8"/>
      <c r="G101" s="8"/>
      <c r="H101" s="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outlineLevel="1" x14ac:dyDescent="0.25">
      <c r="A102" s="1" t="s">
        <v>98</v>
      </c>
      <c r="B102" s="1"/>
      <c r="C102" s="2"/>
      <c r="D102" s="1"/>
      <c r="E102" s="1"/>
      <c r="F102" s="1"/>
      <c r="G102" s="1"/>
      <c r="H102" s="1">
        <f t="shared" ref="H102:N102" si="31">+H52</f>
        <v>24629.057306775256</v>
      </c>
      <c r="I102" s="1">
        <f t="shared" si="31"/>
        <v>12967.524622182944</v>
      </c>
      <c r="J102" s="1">
        <f t="shared" si="31"/>
        <v>14585.079945647372</v>
      </c>
      <c r="K102" s="1">
        <f t="shared" si="31"/>
        <v>16240.521639946975</v>
      </c>
      <c r="L102" s="1">
        <f t="shared" si="31"/>
        <v>17842.910911448522</v>
      </c>
      <c r="M102" s="1">
        <f t="shared" si="31"/>
        <v>19248.645154227423</v>
      </c>
      <c r="N102" s="1">
        <f t="shared" si="31"/>
        <v>20503.790620524003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outlineLevel="1" x14ac:dyDescent="0.25">
      <c r="A103" s="1" t="s">
        <v>99</v>
      </c>
      <c r="B103" s="1"/>
      <c r="C103" s="2"/>
      <c r="D103" s="1"/>
      <c r="E103" s="1"/>
      <c r="F103" s="1"/>
      <c r="G103" s="1"/>
      <c r="H103" s="1">
        <f t="shared" ref="H103:N103" si="32">+H53</f>
        <v>-127126.96643596876</v>
      </c>
      <c r="I103" s="1">
        <f t="shared" si="32"/>
        <v>24206.045961408163</v>
      </c>
      <c r="J103" s="1">
        <f t="shared" si="32"/>
        <v>30567.554754330533</v>
      </c>
      <c r="K103" s="1">
        <f t="shared" si="32"/>
        <v>37741.651179182008</v>
      </c>
      <c r="L103" s="1">
        <f t="shared" si="32"/>
        <v>41804.865326689258</v>
      </c>
      <c r="M103" s="1">
        <f t="shared" si="32"/>
        <v>45815.658910825499</v>
      </c>
      <c r="N103" s="1">
        <f t="shared" si="32"/>
        <v>48876.706093991146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outlineLevel="1" x14ac:dyDescent="0.25">
      <c r="A104" s="1" t="s">
        <v>106</v>
      </c>
      <c r="B104" s="1"/>
      <c r="C104" s="2"/>
      <c r="D104" s="1"/>
      <c r="E104" s="1"/>
      <c r="F104" s="1"/>
      <c r="G104" s="1"/>
      <c r="H104" s="1">
        <f t="shared" ref="H104:N104" si="33">+H61</f>
        <v>19966.288202251784</v>
      </c>
      <c r="I104" s="1">
        <f t="shared" si="33"/>
        <v>11195.296257151274</v>
      </c>
      <c r="J104" s="1">
        <f t="shared" si="33"/>
        <v>12566.661399002554</v>
      </c>
      <c r="K104" s="1">
        <f t="shared" si="33"/>
        <v>13964.410936297343</v>
      </c>
      <c r="L104" s="1">
        <f t="shared" si="33"/>
        <v>15467.800170875027</v>
      </c>
      <c r="M104" s="1">
        <f t="shared" si="33"/>
        <v>16951.793797005434</v>
      </c>
      <c r="N104" s="1">
        <f t="shared" si="33"/>
        <v>18084.381254776727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outlineLevel="1" x14ac:dyDescent="0.25">
      <c r="A105" s="94" t="s">
        <v>205</v>
      </c>
      <c r="B105" s="94"/>
      <c r="C105" s="100"/>
      <c r="D105" s="94"/>
      <c r="E105" s="94"/>
      <c r="F105" s="94"/>
      <c r="G105" s="94"/>
      <c r="H105" s="94">
        <f t="shared" ref="H105:N105" si="34">+H102+H103-H104</f>
        <v>-122464.19733144529</v>
      </c>
      <c r="I105" s="94">
        <f t="shared" si="34"/>
        <v>25978.27432643983</v>
      </c>
      <c r="J105" s="94">
        <f t="shared" si="34"/>
        <v>32585.973300975351</v>
      </c>
      <c r="K105" s="94">
        <f t="shared" si="34"/>
        <v>40017.761882831648</v>
      </c>
      <c r="L105" s="94">
        <f t="shared" si="34"/>
        <v>44179.97606726276</v>
      </c>
      <c r="M105" s="94">
        <f t="shared" si="34"/>
        <v>48112.510268047488</v>
      </c>
      <c r="N105" s="94">
        <f t="shared" si="34"/>
        <v>51296.115459738416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outlineLevel="1" x14ac:dyDescent="0.25">
      <c r="A106" s="1" t="s">
        <v>206</v>
      </c>
      <c r="B106" s="1"/>
      <c r="C106" s="2"/>
      <c r="D106" s="1"/>
      <c r="E106" s="1"/>
      <c r="F106" s="1"/>
      <c r="G106" s="1"/>
      <c r="H106" s="1"/>
      <c r="I106" s="1">
        <f t="shared" ref="I106:N106" si="35">+I105-H105</f>
        <v>148442.47165788512</v>
      </c>
      <c r="J106" s="1">
        <f t="shared" si="35"/>
        <v>6607.6989745355204</v>
      </c>
      <c r="K106" s="1">
        <f t="shared" si="35"/>
        <v>7431.7885818562972</v>
      </c>
      <c r="L106" s="1">
        <f t="shared" si="35"/>
        <v>4162.2141844311118</v>
      </c>
      <c r="M106" s="1">
        <f t="shared" si="35"/>
        <v>3932.5342007847285</v>
      </c>
      <c r="N106" s="1">
        <f t="shared" si="35"/>
        <v>3183.6051916909273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outlineLevel="1" x14ac:dyDescent="0.25">
      <c r="A107" s="1"/>
      <c r="B107" s="1"/>
      <c r="C107" s="2"/>
      <c r="D107" s="8"/>
      <c r="E107" s="8"/>
      <c r="F107" s="8"/>
      <c r="G107" s="8"/>
      <c r="H107" s="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outlineLevel="1" x14ac:dyDescent="0.25">
      <c r="A108" s="14" t="s">
        <v>207</v>
      </c>
      <c r="B108" s="1"/>
      <c r="C108" s="2"/>
      <c r="D108" s="8"/>
      <c r="E108" s="8"/>
      <c r="F108" s="8"/>
      <c r="G108" s="8"/>
      <c r="H108" s="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outlineLevel="1" x14ac:dyDescent="0.25">
      <c r="A109" s="1" t="s">
        <v>208</v>
      </c>
      <c r="B109" s="1"/>
      <c r="C109" s="2"/>
      <c r="D109" s="24"/>
      <c r="E109" s="1"/>
      <c r="F109" s="1"/>
      <c r="G109" s="1"/>
      <c r="H109" s="1"/>
      <c r="I109" s="94">
        <v>-1586.3999999999942</v>
      </c>
      <c r="J109" s="1">
        <v>19480.880000000005</v>
      </c>
      <c r="K109" s="1">
        <v>36334.704000000005</v>
      </c>
      <c r="L109" s="1">
        <f>K112</f>
        <v>49817.763200000001</v>
      </c>
      <c r="M109" s="1">
        <f>L112</f>
        <v>60604.21056</v>
      </c>
      <c r="N109" s="1">
        <f>M112</f>
        <v>69233.368448000008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outlineLevel="1" x14ac:dyDescent="0.25">
      <c r="A110" s="1" t="s">
        <v>209</v>
      </c>
      <c r="B110" s="1"/>
      <c r="C110" s="2"/>
      <c r="D110" s="24"/>
      <c r="E110" s="24"/>
      <c r="F110" s="24"/>
      <c r="G110" s="24"/>
      <c r="H110" s="24"/>
      <c r="I110" s="175">
        <v>20750</v>
      </c>
      <c r="J110" s="175">
        <v>20750</v>
      </c>
      <c r="K110" s="175">
        <v>20750</v>
      </c>
      <c r="L110" s="175">
        <v>20750</v>
      </c>
      <c r="M110" s="175">
        <v>20750</v>
      </c>
      <c r="N110" s="175">
        <v>20750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outlineLevel="1" x14ac:dyDescent="0.25">
      <c r="A111" s="1" t="s">
        <v>210</v>
      </c>
      <c r="B111" s="1"/>
      <c r="C111" s="61"/>
      <c r="D111" s="24"/>
      <c r="E111" s="24"/>
      <c r="F111" s="24"/>
      <c r="G111" s="24"/>
      <c r="H111" s="24"/>
      <c r="I111" s="1">
        <f>I109*0.2</f>
        <v>-317.27999999999884</v>
      </c>
      <c r="J111" s="1">
        <f>J109*0.2</f>
        <v>3896.1760000000013</v>
      </c>
      <c r="K111" s="1">
        <f t="shared" ref="K111:N111" si="36">K109*0.2</f>
        <v>7266.9408000000012</v>
      </c>
      <c r="L111" s="1">
        <f t="shared" si="36"/>
        <v>9963.5526400000017</v>
      </c>
      <c r="M111" s="1">
        <f t="shared" si="36"/>
        <v>12120.842112</v>
      </c>
      <c r="N111" s="1">
        <f>N109*0.2</f>
        <v>13846.673689600002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outlineLevel="1" x14ac:dyDescent="0.25">
      <c r="A112" s="94" t="s">
        <v>211</v>
      </c>
      <c r="B112" s="94"/>
      <c r="C112" s="100"/>
      <c r="D112" s="94"/>
      <c r="E112" s="94"/>
      <c r="F112" s="94"/>
      <c r="G112" s="94"/>
      <c r="H112" s="94">
        <v>-1586.3999999999942</v>
      </c>
      <c r="I112" s="94">
        <f t="shared" ref="I112:N112" si="37">+I109+I110-I111</f>
        <v>19480.880000000005</v>
      </c>
      <c r="J112" s="94">
        <f t="shared" si="37"/>
        <v>36334.704000000005</v>
      </c>
      <c r="K112" s="94">
        <f t="shared" si="37"/>
        <v>49817.763200000001</v>
      </c>
      <c r="L112" s="94">
        <f t="shared" si="37"/>
        <v>60604.21056</v>
      </c>
      <c r="M112" s="94">
        <f t="shared" si="37"/>
        <v>69233.368448000008</v>
      </c>
      <c r="N112" s="94">
        <f t="shared" si="37"/>
        <v>76136.694758400001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outlineLevel="1" x14ac:dyDescent="0.25">
      <c r="A113" s="1"/>
      <c r="B113" s="1"/>
      <c r="C113" s="2"/>
      <c r="D113" s="8"/>
      <c r="E113" s="8"/>
      <c r="F113" s="8"/>
      <c r="G113" s="8"/>
      <c r="H113" s="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outlineLevel="1" x14ac:dyDescent="0.25">
      <c r="A114" s="91" t="s">
        <v>212</v>
      </c>
      <c r="B114" s="92"/>
      <c r="C114" s="93"/>
      <c r="D114" s="129"/>
      <c r="E114" s="129"/>
      <c r="F114" s="129"/>
      <c r="G114" s="129"/>
      <c r="H114" s="129"/>
      <c r="I114" s="92"/>
      <c r="J114" s="92"/>
      <c r="K114" s="92"/>
      <c r="L114" s="92"/>
      <c r="M114" s="92"/>
      <c r="N114" s="9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outlineLevel="1" x14ac:dyDescent="0.25">
      <c r="A115" s="14" t="s">
        <v>34</v>
      </c>
      <c r="B115" s="1"/>
      <c r="C115" s="2"/>
      <c r="D115" s="8"/>
      <c r="E115" s="8"/>
      <c r="F115" s="8"/>
      <c r="G115" s="8"/>
      <c r="H115" s="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outlineLevel="1" x14ac:dyDescent="0.25">
      <c r="A116" s="1" t="s">
        <v>213</v>
      </c>
      <c r="B116" s="1"/>
      <c r="C116" s="2"/>
      <c r="D116" s="8"/>
      <c r="E116" s="8"/>
      <c r="F116" s="8"/>
      <c r="G116" s="8"/>
      <c r="H116" s="1"/>
      <c r="I116" s="1">
        <f>100000*I12</f>
        <v>25000</v>
      </c>
      <c r="J116" s="1">
        <f t="shared" ref="J116:L116" si="38">100000*J12</f>
        <v>25000</v>
      </c>
      <c r="K116" s="1">
        <f t="shared" si="38"/>
        <v>25000</v>
      </c>
      <c r="L116" s="1">
        <f t="shared" si="38"/>
        <v>25000</v>
      </c>
      <c r="M116" s="12" t="s">
        <v>278</v>
      </c>
      <c r="N116" s="1">
        <f t="shared" ref="N116" si="39">+M118</f>
        <v>0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outlineLevel="1" x14ac:dyDescent="0.25">
      <c r="A117" s="1" t="s">
        <v>214</v>
      </c>
      <c r="B117" s="1"/>
      <c r="C117" s="2"/>
      <c r="D117" s="8"/>
      <c r="E117" s="8"/>
      <c r="F117" s="8"/>
      <c r="G117" s="8"/>
      <c r="H117" s="1"/>
      <c r="I117" s="1">
        <f t="shared" ref="I117:N117" si="40">-$H$118*I12</f>
        <v>0</v>
      </c>
      <c r="J117" s="1">
        <f t="shared" si="40"/>
        <v>0</v>
      </c>
      <c r="K117" s="1">
        <f t="shared" si="40"/>
        <v>0</v>
      </c>
      <c r="L117" s="1">
        <f t="shared" si="40"/>
        <v>0</v>
      </c>
      <c r="M117" s="1">
        <f t="shared" si="40"/>
        <v>0</v>
      </c>
      <c r="N117" s="1">
        <f t="shared" si="40"/>
        <v>0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outlineLevel="1" x14ac:dyDescent="0.25">
      <c r="A118" s="94" t="s">
        <v>215</v>
      </c>
      <c r="B118" s="94"/>
      <c r="C118" s="100"/>
      <c r="D118" s="95"/>
      <c r="E118" s="95"/>
      <c r="F118" s="95"/>
      <c r="G118" s="95"/>
      <c r="H118" s="104">
        <f>+'M&amp;A Assumptions &amp; Analysis'!H20</f>
        <v>0</v>
      </c>
      <c r="I118" s="94">
        <f t="shared" ref="I118:N118" si="41">SUM(I116:I117)</f>
        <v>25000</v>
      </c>
      <c r="J118" s="94">
        <f t="shared" si="41"/>
        <v>25000</v>
      </c>
      <c r="K118" s="94">
        <f t="shared" si="41"/>
        <v>25000</v>
      </c>
      <c r="L118" s="94">
        <f t="shared" si="41"/>
        <v>25000</v>
      </c>
      <c r="M118" s="94">
        <f t="shared" si="41"/>
        <v>0</v>
      </c>
      <c r="N118" s="94">
        <f t="shared" si="41"/>
        <v>0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outlineLevel="1" x14ac:dyDescent="0.25">
      <c r="A119" s="1" t="s">
        <v>180</v>
      </c>
      <c r="B119" s="1"/>
      <c r="C119" s="2"/>
      <c r="D119" s="8"/>
      <c r="E119" s="8"/>
      <c r="F119" s="8"/>
      <c r="G119" s="8"/>
      <c r="H119" s="8"/>
      <c r="I119" s="1">
        <f>I118*0.08</f>
        <v>2000</v>
      </c>
      <c r="J119" s="1">
        <f t="shared" ref="J119:N119" si="42">J118*0.08</f>
        <v>2000</v>
      </c>
      <c r="K119" s="1">
        <f t="shared" si="42"/>
        <v>2000</v>
      </c>
      <c r="L119" s="1">
        <f t="shared" si="42"/>
        <v>2000</v>
      </c>
      <c r="M119" s="1">
        <f t="shared" si="42"/>
        <v>0</v>
      </c>
      <c r="N119" s="1">
        <f t="shared" si="42"/>
        <v>0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outlineLevel="1" x14ac:dyDescent="0.25">
      <c r="A120" s="14" t="s">
        <v>35</v>
      </c>
      <c r="B120" s="1"/>
      <c r="C120" s="2"/>
      <c r="D120" s="8"/>
      <c r="E120" s="8"/>
      <c r="F120" s="8"/>
      <c r="G120" s="8"/>
      <c r="H120" s="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outlineLevel="1" x14ac:dyDescent="0.25">
      <c r="A121" s="1" t="s">
        <v>213</v>
      </c>
      <c r="B121" s="1"/>
      <c r="C121" s="2"/>
      <c r="D121" s="8"/>
      <c r="E121" s="8"/>
      <c r="F121" s="8"/>
      <c r="G121" s="8"/>
      <c r="H121" s="8"/>
      <c r="I121" s="1">
        <f t="shared" ref="I121" si="43">+H123</f>
        <v>0</v>
      </c>
      <c r="J121" s="1">
        <f>50000*J13</f>
        <v>10000</v>
      </c>
      <c r="K121" s="1">
        <f t="shared" ref="K121:N121" si="44">50000*K13</f>
        <v>10000</v>
      </c>
      <c r="L121" s="1">
        <f t="shared" si="44"/>
        <v>10000</v>
      </c>
      <c r="M121" s="1">
        <f t="shared" si="44"/>
        <v>10000</v>
      </c>
      <c r="N121" s="1">
        <f t="shared" si="44"/>
        <v>10000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outlineLevel="1" x14ac:dyDescent="0.25">
      <c r="A122" s="1" t="s">
        <v>214</v>
      </c>
      <c r="B122" s="1"/>
      <c r="C122" s="2"/>
      <c r="D122" s="8"/>
      <c r="E122" s="8"/>
      <c r="F122" s="8"/>
      <c r="G122" s="8"/>
      <c r="H122" s="8"/>
      <c r="I122" s="1">
        <f t="shared" ref="I122:N122" si="45">-$H$123*I13</f>
        <v>0</v>
      </c>
      <c r="J122" s="1">
        <f t="shared" si="45"/>
        <v>0</v>
      </c>
      <c r="K122" s="173" t="s">
        <v>278</v>
      </c>
      <c r="L122" s="1">
        <f t="shared" si="45"/>
        <v>0</v>
      </c>
      <c r="M122" s="1">
        <f t="shared" si="45"/>
        <v>0</v>
      </c>
      <c r="N122" s="1">
        <f t="shared" si="45"/>
        <v>0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outlineLevel="1" x14ac:dyDescent="0.25">
      <c r="A123" s="94" t="s">
        <v>215</v>
      </c>
      <c r="B123" s="94"/>
      <c r="C123" s="100"/>
      <c r="D123" s="95"/>
      <c r="E123" s="95"/>
      <c r="F123" s="95"/>
      <c r="G123" s="95"/>
      <c r="H123" s="104">
        <f>+'M&amp;A Assumptions &amp; Analysis'!H21</f>
        <v>0</v>
      </c>
      <c r="I123" s="94">
        <f t="shared" ref="I123:N123" si="46">SUM(I121:I122)</f>
        <v>0</v>
      </c>
      <c r="J123" s="94">
        <f t="shared" si="46"/>
        <v>10000</v>
      </c>
      <c r="K123" s="94">
        <f t="shared" si="46"/>
        <v>10000</v>
      </c>
      <c r="L123" s="94">
        <f t="shared" si="46"/>
        <v>10000</v>
      </c>
      <c r="M123" s="94">
        <f t="shared" si="46"/>
        <v>10000</v>
      </c>
      <c r="N123" s="94">
        <f t="shared" si="46"/>
        <v>10000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outlineLevel="1" x14ac:dyDescent="0.25">
      <c r="A124" s="1" t="s">
        <v>180</v>
      </c>
      <c r="B124" s="1"/>
      <c r="C124" s="2"/>
      <c r="D124" s="8"/>
      <c r="E124" s="8"/>
      <c r="F124" s="8"/>
      <c r="G124" s="8"/>
      <c r="H124" s="8"/>
      <c r="I124" s="1"/>
      <c r="J124" s="1">
        <f>J123*0.08</f>
        <v>800</v>
      </c>
      <c r="K124" s="1">
        <f t="shared" ref="K124:N124" si="47">K123*0.08</f>
        <v>800</v>
      </c>
      <c r="L124" s="1">
        <f t="shared" si="47"/>
        <v>800</v>
      </c>
      <c r="M124" s="1">
        <f t="shared" si="47"/>
        <v>800</v>
      </c>
      <c r="N124" s="1">
        <f t="shared" si="47"/>
        <v>800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outlineLevel="1" x14ac:dyDescent="0.25">
      <c r="A125" s="14" t="s">
        <v>37</v>
      </c>
      <c r="B125" s="1"/>
      <c r="C125" s="2"/>
      <c r="D125" s="8"/>
      <c r="E125" s="8"/>
      <c r="F125" s="8"/>
      <c r="G125" s="8"/>
      <c r="H125" s="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outlineLevel="1" x14ac:dyDescent="0.25">
      <c r="A126" s="1" t="s">
        <v>213</v>
      </c>
      <c r="B126" s="1"/>
      <c r="C126" s="2"/>
      <c r="D126" s="8"/>
      <c r="E126" s="8"/>
      <c r="F126" s="8"/>
      <c r="G126" s="8"/>
      <c r="H126" s="8"/>
      <c r="I126" s="1">
        <f t="shared" ref="I126:M126" si="48">+H128</f>
        <v>0</v>
      </c>
      <c r="J126" s="1">
        <f t="shared" si="48"/>
        <v>0</v>
      </c>
      <c r="K126" s="1">
        <f t="shared" si="48"/>
        <v>0</v>
      </c>
      <c r="L126" s="1">
        <f t="shared" si="48"/>
        <v>0</v>
      </c>
      <c r="M126" s="1">
        <f t="shared" si="48"/>
        <v>0</v>
      </c>
      <c r="N126" s="1">
        <f>25000*100%</f>
        <v>25000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outlineLevel="1" x14ac:dyDescent="0.25">
      <c r="A127" s="1" t="s">
        <v>214</v>
      </c>
      <c r="B127" s="1"/>
      <c r="C127" s="2"/>
      <c r="D127" s="8"/>
      <c r="E127" s="8"/>
      <c r="F127" s="8"/>
      <c r="G127" s="8"/>
      <c r="H127" s="8"/>
      <c r="I127" s="1">
        <f t="shared" ref="I127:N127" si="49">-$H$128*I14</f>
        <v>0</v>
      </c>
      <c r="J127" s="1">
        <f t="shared" si="49"/>
        <v>0</v>
      </c>
      <c r="K127" s="1">
        <f t="shared" si="49"/>
        <v>0</v>
      </c>
      <c r="L127" s="1">
        <f t="shared" si="49"/>
        <v>0</v>
      </c>
      <c r="M127" s="1">
        <f t="shared" si="49"/>
        <v>0</v>
      </c>
      <c r="N127" s="1">
        <f t="shared" si="49"/>
        <v>0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outlineLevel="1" x14ac:dyDescent="0.25">
      <c r="A128" s="94" t="s">
        <v>215</v>
      </c>
      <c r="B128" s="94"/>
      <c r="C128" s="100"/>
      <c r="D128" s="95"/>
      <c r="E128" s="95"/>
      <c r="F128" s="95"/>
      <c r="G128" s="95"/>
      <c r="H128" s="104">
        <f>+'M&amp;A Assumptions &amp; Analysis'!H22</f>
        <v>0</v>
      </c>
      <c r="I128" s="94">
        <f t="shared" ref="I128:N128" si="50">SUM(I126:I127)</f>
        <v>0</v>
      </c>
      <c r="J128" s="94">
        <f t="shared" si="50"/>
        <v>0</v>
      </c>
      <c r="K128" s="94">
        <f t="shared" si="50"/>
        <v>0</v>
      </c>
      <c r="L128" s="94">
        <f t="shared" si="50"/>
        <v>0</v>
      </c>
      <c r="M128" s="94">
        <f t="shared" si="50"/>
        <v>0</v>
      </c>
      <c r="N128" s="94">
        <f t="shared" si="50"/>
        <v>25000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outlineLevel="1" x14ac:dyDescent="0.25">
      <c r="A129" s="1" t="s">
        <v>180</v>
      </c>
      <c r="B129" s="1"/>
      <c r="C129" s="2"/>
      <c r="D129" s="8"/>
      <c r="E129" s="8"/>
      <c r="F129" s="8"/>
      <c r="G129" s="8"/>
      <c r="H129" s="8"/>
      <c r="I129" s="1"/>
      <c r="J129" s="1"/>
      <c r="K129" s="1"/>
      <c r="L129" s="1"/>
      <c r="M129" s="1"/>
      <c r="N129" s="1">
        <f>N128*0.1</f>
        <v>2500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outlineLevel="1" x14ac:dyDescent="0.25">
      <c r="A130" s="14" t="s">
        <v>216</v>
      </c>
      <c r="B130" s="1"/>
      <c r="C130" s="2"/>
      <c r="D130" s="8"/>
      <c r="E130" s="8"/>
      <c r="F130" s="8"/>
      <c r="G130" s="8"/>
      <c r="H130" s="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outlineLevel="1" x14ac:dyDescent="0.25">
      <c r="A131" s="1" t="s">
        <v>213</v>
      </c>
      <c r="B131" s="1"/>
      <c r="C131" s="2"/>
      <c r="D131" s="8"/>
      <c r="E131" s="8"/>
      <c r="F131" s="8"/>
      <c r="G131" s="8"/>
      <c r="H131" s="8"/>
      <c r="I131" s="1">
        <v>6801</v>
      </c>
      <c r="J131" s="1">
        <v>6801</v>
      </c>
      <c r="K131" s="1">
        <v>6801</v>
      </c>
      <c r="L131" s="1">
        <v>6801</v>
      </c>
      <c r="M131" s="1">
        <v>6801</v>
      </c>
      <c r="N131" s="1">
        <v>6801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outlineLevel="1" x14ac:dyDescent="0.25">
      <c r="A132" s="1" t="s">
        <v>214</v>
      </c>
      <c r="B132" s="1"/>
      <c r="C132" s="2"/>
      <c r="D132" s="8"/>
      <c r="E132" s="8"/>
      <c r="F132" s="8"/>
      <c r="G132" s="8"/>
      <c r="H132" s="8"/>
      <c r="I132" s="24">
        <f>IF(I131&gt;0,'Target Model'!I146*'Pro Forma Model'!I6,0)</f>
        <v>0</v>
      </c>
      <c r="J132" s="24">
        <f>IF(J131&gt;0,'Target Model'!J146*'Pro Forma Model'!J6,0)</f>
        <v>0</v>
      </c>
      <c r="K132" s="24">
        <f>IF(K131&gt;0,'Target Model'!K146*'Pro Forma Model'!K6,0)</f>
        <v>0</v>
      </c>
      <c r="L132" s="24">
        <f>IF(L131&gt;0,'Target Model'!L146*'Pro Forma Model'!L6,0)</f>
        <v>0</v>
      </c>
      <c r="M132" s="24">
        <f>IF(M131&gt;0,'Target Model'!M146*'Pro Forma Model'!M6,0)</f>
        <v>0</v>
      </c>
      <c r="N132" s="175">
        <v>-10000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outlineLevel="1" x14ac:dyDescent="0.25">
      <c r="A133" s="94" t="s">
        <v>215</v>
      </c>
      <c r="B133" s="94"/>
      <c r="C133" s="100"/>
      <c r="D133" s="95"/>
      <c r="E133" s="95"/>
      <c r="F133" s="95"/>
      <c r="G133" s="95"/>
      <c r="H133" s="176">
        <v>6801</v>
      </c>
      <c r="I133" s="94">
        <f t="shared" ref="I133:N133" si="51">SUM(I131:I132)</f>
        <v>6801</v>
      </c>
      <c r="J133" s="94">
        <f t="shared" si="51"/>
        <v>6801</v>
      </c>
      <c r="K133" s="94">
        <f t="shared" si="51"/>
        <v>6801</v>
      </c>
      <c r="L133" s="94">
        <f t="shared" si="51"/>
        <v>6801</v>
      </c>
      <c r="M133" s="94">
        <f t="shared" si="51"/>
        <v>6801</v>
      </c>
      <c r="N133" s="94">
        <f t="shared" si="51"/>
        <v>-3199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outlineLevel="1" x14ac:dyDescent="0.25">
      <c r="A134" s="1"/>
      <c r="B134" s="1"/>
      <c r="C134" s="2"/>
      <c r="D134" s="8"/>
      <c r="E134" s="8"/>
      <c r="F134" s="8"/>
      <c r="G134" s="8"/>
      <c r="H134" s="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outlineLevel="1" x14ac:dyDescent="0.25">
      <c r="A135" s="14" t="s">
        <v>217</v>
      </c>
      <c r="B135" s="1"/>
      <c r="C135" s="2"/>
      <c r="D135" s="8"/>
      <c r="E135" s="8"/>
      <c r="F135" s="8"/>
      <c r="G135" s="8"/>
      <c r="H135" s="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outlineLevel="1" x14ac:dyDescent="0.25">
      <c r="A136" s="1" t="s">
        <v>213</v>
      </c>
      <c r="B136" s="1"/>
      <c r="C136" s="2"/>
      <c r="D136" s="8"/>
      <c r="E136" s="8"/>
      <c r="F136" s="8"/>
      <c r="G136" s="8"/>
      <c r="H136" s="8"/>
      <c r="I136" s="1">
        <v>10000</v>
      </c>
      <c r="J136" s="1">
        <v>10000</v>
      </c>
      <c r="K136" s="1">
        <v>10000</v>
      </c>
      <c r="L136" s="1">
        <v>-10000</v>
      </c>
      <c r="M136" s="1">
        <v>-10000</v>
      </c>
      <c r="N136" s="1">
        <v>-10000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outlineLevel="1" x14ac:dyDescent="0.25">
      <c r="A137" s="1" t="s">
        <v>214</v>
      </c>
      <c r="B137" s="1"/>
      <c r="C137" s="2"/>
      <c r="D137" s="8"/>
      <c r="E137" s="8"/>
      <c r="F137" s="8"/>
      <c r="G137" s="8"/>
      <c r="H137" s="8"/>
      <c r="I137" s="24">
        <f>IF(I136&gt;0,'Acquirer Model'!I146*'Pro Forma Model'!I6,0)</f>
        <v>0</v>
      </c>
      <c r="J137" s="24">
        <f>IF(J136&gt;0,'Acquirer Model'!J146*'Pro Forma Model'!J6,0)</f>
        <v>0</v>
      </c>
      <c r="K137" s="175">
        <v>-20000</v>
      </c>
      <c r="L137" s="24">
        <f>IF(L136&gt;0,'Acquirer Model'!L146*'Pro Forma Model'!L6,0)</f>
        <v>0</v>
      </c>
      <c r="M137" s="24">
        <f>IF(M136&gt;0,'Acquirer Model'!M146*'Pro Forma Model'!M6,0)</f>
        <v>0</v>
      </c>
      <c r="N137" s="24">
        <f>IF(N136&gt;0,'Acquirer Model'!N146*'Pro Forma Model'!N6,0)</f>
        <v>0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outlineLevel="1" x14ac:dyDescent="0.25">
      <c r="A138" s="94" t="s">
        <v>215</v>
      </c>
      <c r="B138" s="94"/>
      <c r="C138" s="100"/>
      <c r="D138" s="95"/>
      <c r="E138" s="95"/>
      <c r="F138" s="95"/>
      <c r="G138" s="95"/>
      <c r="H138" s="176">
        <v>10000</v>
      </c>
      <c r="I138" s="94">
        <f t="shared" ref="I138:N138" si="52">SUM(I136:I137)</f>
        <v>10000</v>
      </c>
      <c r="J138" s="94">
        <f t="shared" si="52"/>
        <v>10000</v>
      </c>
      <c r="K138" s="94">
        <f t="shared" si="52"/>
        <v>-10000</v>
      </c>
      <c r="L138" s="94">
        <f t="shared" si="52"/>
        <v>-10000</v>
      </c>
      <c r="M138" s="94">
        <f t="shared" si="52"/>
        <v>-10000</v>
      </c>
      <c r="N138" s="94">
        <f t="shared" si="52"/>
        <v>-10000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outlineLevel="1" x14ac:dyDescent="0.25">
      <c r="A139" s="1"/>
      <c r="B139" s="1"/>
      <c r="C139" s="2"/>
      <c r="D139" s="8"/>
      <c r="E139" s="8"/>
      <c r="F139" s="8"/>
      <c r="G139" s="8"/>
      <c r="H139" s="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outlineLevel="1" x14ac:dyDescent="0.25">
      <c r="A140" s="14" t="s">
        <v>218</v>
      </c>
      <c r="B140" s="1"/>
      <c r="C140" s="2"/>
      <c r="D140" s="8"/>
      <c r="E140" s="8"/>
      <c r="F140" s="8"/>
      <c r="G140" s="8"/>
      <c r="H140" s="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outlineLevel="1" x14ac:dyDescent="0.25">
      <c r="A141" s="1" t="s">
        <v>213</v>
      </c>
      <c r="B141" s="1"/>
      <c r="C141" s="2"/>
      <c r="D141" s="8"/>
      <c r="E141" s="8"/>
      <c r="F141" s="8"/>
      <c r="G141" s="8"/>
      <c r="H141" s="8"/>
      <c r="I141" s="1">
        <f t="shared" ref="I141:N141" si="53">+H143</f>
        <v>16801</v>
      </c>
      <c r="J141" s="1">
        <f t="shared" si="53"/>
        <v>16801</v>
      </c>
      <c r="K141" s="1">
        <f t="shared" si="53"/>
        <v>16801</v>
      </c>
      <c r="L141" s="1">
        <f t="shared" si="53"/>
        <v>-3199</v>
      </c>
      <c r="M141" s="1">
        <f t="shared" si="53"/>
        <v>-3199</v>
      </c>
      <c r="N141" s="1">
        <f t="shared" si="53"/>
        <v>-3199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outlineLevel="1" x14ac:dyDescent="0.25">
      <c r="A142" s="1" t="s">
        <v>214</v>
      </c>
      <c r="B142" s="1"/>
      <c r="C142" s="2"/>
      <c r="D142" s="8"/>
      <c r="E142" s="8"/>
      <c r="F142" s="8"/>
      <c r="G142" s="8"/>
      <c r="H142" s="8"/>
      <c r="I142" s="1">
        <f t="shared" ref="I142:N142" si="54">+I137+I132+I127+I122+I117</f>
        <v>0</v>
      </c>
      <c r="J142" s="1">
        <f t="shared" si="54"/>
        <v>0</v>
      </c>
      <c r="K142" s="1">
        <v>-20000</v>
      </c>
      <c r="L142" s="1">
        <f t="shared" si="54"/>
        <v>0</v>
      </c>
      <c r="M142" s="1">
        <f t="shared" si="54"/>
        <v>0</v>
      </c>
      <c r="N142" s="1">
        <f t="shared" si="54"/>
        <v>-10000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outlineLevel="1" x14ac:dyDescent="0.25">
      <c r="A143" s="97" t="s">
        <v>215</v>
      </c>
      <c r="B143" s="97"/>
      <c r="C143" s="102"/>
      <c r="D143" s="130"/>
      <c r="E143" s="130"/>
      <c r="F143" s="130"/>
      <c r="G143" s="130"/>
      <c r="H143" s="97">
        <f>+H138+H133+H128+H123+H118</f>
        <v>16801</v>
      </c>
      <c r="I143" s="97">
        <f t="shared" ref="I143:N143" si="55">SUM(I141:I142)</f>
        <v>16801</v>
      </c>
      <c r="J143" s="97">
        <f t="shared" si="55"/>
        <v>16801</v>
      </c>
      <c r="K143" s="97">
        <f t="shared" si="55"/>
        <v>-3199</v>
      </c>
      <c r="L143" s="97">
        <f t="shared" si="55"/>
        <v>-3199</v>
      </c>
      <c r="M143" s="97">
        <f t="shared" si="55"/>
        <v>-3199</v>
      </c>
      <c r="N143" s="97">
        <f t="shared" si="55"/>
        <v>-13199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outlineLevel="1" x14ac:dyDescent="0.25">
      <c r="A144" s="1"/>
      <c r="B144" s="1"/>
      <c r="C144" s="2"/>
      <c r="D144" s="8"/>
      <c r="E144" s="8"/>
      <c r="F144" s="8"/>
      <c r="G144" s="8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outlineLevel="1" x14ac:dyDescent="0.25">
      <c r="A145" s="1"/>
      <c r="B145" s="1"/>
      <c r="C145" s="2"/>
      <c r="D145" s="8"/>
      <c r="E145" s="8"/>
      <c r="F145" s="8"/>
      <c r="G145" s="8"/>
      <c r="H145" s="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outlineLevel="1" x14ac:dyDescent="0.25">
      <c r="A146" s="91" t="s">
        <v>219</v>
      </c>
      <c r="B146" s="92"/>
      <c r="C146" s="93"/>
      <c r="D146" s="129"/>
      <c r="E146" s="129"/>
      <c r="F146" s="129"/>
      <c r="G146" s="129"/>
      <c r="H146" s="129"/>
      <c r="I146" s="92"/>
      <c r="J146" s="92"/>
      <c r="K146" s="92"/>
      <c r="L146" s="92"/>
      <c r="M146" s="92"/>
      <c r="N146" s="92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outlineLevel="1" x14ac:dyDescent="0.25">
      <c r="A147" s="14" t="s">
        <v>220</v>
      </c>
      <c r="B147" s="1"/>
      <c r="C147" s="2"/>
      <c r="D147" s="8"/>
      <c r="E147" s="8"/>
      <c r="F147" s="8"/>
      <c r="G147" s="8"/>
      <c r="H147" s="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outlineLevel="1" x14ac:dyDescent="0.25">
      <c r="A148" s="1" t="s">
        <v>34</v>
      </c>
      <c r="B148" s="1"/>
      <c r="C148" s="2"/>
      <c r="D148" s="8"/>
      <c r="E148" s="8"/>
      <c r="F148" s="8"/>
      <c r="G148" s="8"/>
      <c r="H148" s="1"/>
      <c r="I148" s="67">
        <f>+'M&amp;A Assumptions &amp; Analysis'!H24</f>
        <v>5.5E-2</v>
      </c>
      <c r="J148" s="67">
        <f t="shared" ref="J148:N148" si="56">+I148</f>
        <v>5.5E-2</v>
      </c>
      <c r="K148" s="67">
        <f t="shared" si="56"/>
        <v>5.5E-2</v>
      </c>
      <c r="L148" s="67">
        <f t="shared" si="56"/>
        <v>5.5E-2</v>
      </c>
      <c r="M148" s="67">
        <f t="shared" si="56"/>
        <v>5.5E-2</v>
      </c>
      <c r="N148" s="67">
        <f t="shared" si="56"/>
        <v>5.5E-2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outlineLevel="1" x14ac:dyDescent="0.25">
      <c r="A149" s="1" t="s">
        <v>35</v>
      </c>
      <c r="B149" s="1"/>
      <c r="C149" s="2"/>
      <c r="D149" s="8"/>
      <c r="E149" s="8"/>
      <c r="F149" s="8"/>
      <c r="G149" s="8"/>
      <c r="H149" s="1"/>
      <c r="I149" s="67">
        <f>+'M&amp;A Assumptions &amp; Analysis'!H25</f>
        <v>5.7500000000000002E-2</v>
      </c>
      <c r="J149" s="67">
        <f t="shared" ref="J149:N149" si="57">+I149</f>
        <v>5.7500000000000002E-2</v>
      </c>
      <c r="K149" s="67">
        <f t="shared" si="57"/>
        <v>5.7500000000000002E-2</v>
      </c>
      <c r="L149" s="67">
        <f t="shared" si="57"/>
        <v>5.7500000000000002E-2</v>
      </c>
      <c r="M149" s="67">
        <f t="shared" si="57"/>
        <v>5.7500000000000002E-2</v>
      </c>
      <c r="N149" s="67">
        <f t="shared" si="57"/>
        <v>5.7500000000000002E-2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outlineLevel="1" x14ac:dyDescent="0.25">
      <c r="A150" s="1" t="s">
        <v>37</v>
      </c>
      <c r="B150" s="1"/>
      <c r="C150" s="2"/>
      <c r="D150" s="8"/>
      <c r="E150" s="8"/>
      <c r="F150" s="8"/>
      <c r="G150" s="8"/>
      <c r="H150" s="1"/>
      <c r="I150" s="67">
        <f>+'M&amp;A Assumptions &amp; Analysis'!H26</f>
        <v>8.2500000000000004E-2</v>
      </c>
      <c r="J150" s="67">
        <f t="shared" ref="J150:N150" si="58">+I150</f>
        <v>8.2500000000000004E-2</v>
      </c>
      <c r="K150" s="67">
        <f t="shared" si="58"/>
        <v>8.2500000000000004E-2</v>
      </c>
      <c r="L150" s="67">
        <f t="shared" si="58"/>
        <v>8.2500000000000004E-2</v>
      </c>
      <c r="M150" s="67">
        <f t="shared" si="58"/>
        <v>8.2500000000000004E-2</v>
      </c>
      <c r="N150" s="67">
        <f t="shared" si="58"/>
        <v>8.2500000000000004E-2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outlineLevel="1" x14ac:dyDescent="0.25">
      <c r="A151" s="1" t="s">
        <v>216</v>
      </c>
      <c r="B151" s="1"/>
      <c r="C151" s="2"/>
      <c r="D151" s="8"/>
      <c r="E151" s="8"/>
      <c r="F151" s="8"/>
      <c r="G151" s="8"/>
      <c r="H151" s="1"/>
      <c r="I151" s="67">
        <f>+'Target Model'!I50</f>
        <v>0.08</v>
      </c>
      <c r="J151" s="67">
        <f>+'Target Model'!J50</f>
        <v>0.08</v>
      </c>
      <c r="K151" s="67">
        <f>+'Target Model'!K50</f>
        <v>0.08</v>
      </c>
      <c r="L151" s="67">
        <f>+'Target Model'!L50</f>
        <v>0.08</v>
      </c>
      <c r="M151" s="67">
        <f>+'Target Model'!M50</f>
        <v>0.08</v>
      </c>
      <c r="N151" s="67">
        <f>+'Target Model'!N50</f>
        <v>0.08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outlineLevel="1" x14ac:dyDescent="0.25">
      <c r="A152" s="1" t="s">
        <v>217</v>
      </c>
      <c r="B152" s="1"/>
      <c r="C152" s="2"/>
      <c r="D152" s="8"/>
      <c r="E152" s="8"/>
      <c r="F152" s="8"/>
      <c r="G152" s="8"/>
      <c r="H152" s="1"/>
      <c r="I152" s="67">
        <f>+'Acquirer Model'!I50</f>
        <v>0.1</v>
      </c>
      <c r="J152" s="67">
        <f>+'Acquirer Model'!J50</f>
        <v>0.1</v>
      </c>
      <c r="K152" s="67">
        <f>+'Acquirer Model'!K50</f>
        <v>0.1</v>
      </c>
      <c r="L152" s="67">
        <f>+'Acquirer Model'!L50</f>
        <v>0.1</v>
      </c>
      <c r="M152" s="67">
        <f>+'Acquirer Model'!M50</f>
        <v>0.1</v>
      </c>
      <c r="N152" s="67">
        <f>+'Acquirer Model'!N50</f>
        <v>0.1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outlineLevel="1" x14ac:dyDescent="0.25">
      <c r="A153" s="1"/>
      <c r="B153" s="1"/>
      <c r="C153" s="2"/>
      <c r="D153" s="8"/>
      <c r="E153" s="8"/>
      <c r="F153" s="8"/>
      <c r="G153" s="8"/>
      <c r="H153" s="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outlineLevel="1" x14ac:dyDescent="0.25">
      <c r="A154" s="14" t="s">
        <v>221</v>
      </c>
      <c r="B154" s="1"/>
      <c r="C154" s="2"/>
      <c r="D154" s="8"/>
      <c r="E154" s="8"/>
      <c r="F154" s="8"/>
      <c r="G154" s="8"/>
      <c r="H154" s="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outlineLevel="1" x14ac:dyDescent="0.25">
      <c r="A155" s="1" t="s">
        <v>34</v>
      </c>
      <c r="B155" s="1"/>
      <c r="C155" s="2"/>
      <c r="D155" s="8"/>
      <c r="E155" s="8"/>
      <c r="F155" s="8"/>
      <c r="G155" s="8"/>
      <c r="H155" s="1"/>
      <c r="I155" s="1">
        <f>I116*I148</f>
        <v>1375</v>
      </c>
      <c r="J155" s="1">
        <f t="shared" ref="J155:N155" si="59">J116*J148</f>
        <v>1375</v>
      </c>
      <c r="K155" s="1">
        <f t="shared" si="59"/>
        <v>1375</v>
      </c>
      <c r="L155" s="1">
        <f t="shared" si="59"/>
        <v>1375</v>
      </c>
      <c r="M155" s="12" t="s">
        <v>278</v>
      </c>
      <c r="N155" s="1">
        <f t="shared" si="59"/>
        <v>0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outlineLevel="1" x14ac:dyDescent="0.25">
      <c r="A156" s="1" t="s">
        <v>35</v>
      </c>
      <c r="B156" s="1"/>
      <c r="C156" s="2"/>
      <c r="D156" s="8"/>
      <c r="E156" s="8"/>
      <c r="F156" s="8"/>
      <c r="G156" s="8"/>
      <c r="H156" s="1"/>
      <c r="I156" s="1">
        <f t="shared" ref="I156:N156" si="60">+I149*I6*I121</f>
        <v>0</v>
      </c>
      <c r="J156" s="1">
        <f t="shared" si="60"/>
        <v>575</v>
      </c>
      <c r="K156" s="1">
        <f t="shared" si="60"/>
        <v>575</v>
      </c>
      <c r="L156" s="1">
        <f t="shared" si="60"/>
        <v>575</v>
      </c>
      <c r="M156" s="1">
        <f t="shared" si="60"/>
        <v>575</v>
      </c>
      <c r="N156" s="1">
        <f t="shared" si="60"/>
        <v>575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outlineLevel="1" x14ac:dyDescent="0.25">
      <c r="A157" s="1" t="s">
        <v>37</v>
      </c>
      <c r="B157" s="1"/>
      <c r="C157" s="2"/>
      <c r="D157" s="8"/>
      <c r="E157" s="8"/>
      <c r="F157" s="8"/>
      <c r="G157" s="8"/>
      <c r="H157" s="1"/>
      <c r="I157" s="1">
        <f t="shared" ref="I157:N157" si="61">+I150*I126*I6</f>
        <v>0</v>
      </c>
      <c r="J157" s="1">
        <f t="shared" si="61"/>
        <v>0</v>
      </c>
      <c r="K157" s="1">
        <f t="shared" si="61"/>
        <v>0</v>
      </c>
      <c r="L157" s="1">
        <f t="shared" si="61"/>
        <v>0</v>
      </c>
      <c r="M157" s="1">
        <f t="shared" si="61"/>
        <v>0</v>
      </c>
      <c r="N157" s="1">
        <f t="shared" si="61"/>
        <v>2062.5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outlineLevel="1" x14ac:dyDescent="0.25">
      <c r="A158" s="1" t="s">
        <v>216</v>
      </c>
      <c r="B158" s="1"/>
      <c r="C158" s="2"/>
      <c r="D158" s="8"/>
      <c r="E158" s="8"/>
      <c r="F158" s="8"/>
      <c r="G158" s="8"/>
      <c r="H158" s="1"/>
      <c r="I158" s="1">
        <f>I151*I6*I131</f>
        <v>544.08000000000004</v>
      </c>
      <c r="J158" s="1">
        <f t="shared" ref="J158:N158" si="62">+J151*J6*J131</f>
        <v>544.08000000000004</v>
      </c>
      <c r="K158" s="1">
        <f t="shared" si="62"/>
        <v>544.08000000000004</v>
      </c>
      <c r="L158" s="1">
        <f t="shared" si="62"/>
        <v>544.08000000000004</v>
      </c>
      <c r="M158" s="1">
        <f t="shared" si="62"/>
        <v>544.08000000000004</v>
      </c>
      <c r="N158" s="1">
        <f t="shared" si="62"/>
        <v>544.08000000000004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outlineLevel="1" x14ac:dyDescent="0.25">
      <c r="A159" s="1" t="s">
        <v>217</v>
      </c>
      <c r="B159" s="1"/>
      <c r="C159" s="2"/>
      <c r="D159" s="8"/>
      <c r="E159" s="8"/>
      <c r="F159" s="8"/>
      <c r="G159" s="8"/>
      <c r="H159" s="1"/>
      <c r="I159" s="1">
        <f t="shared" ref="I159:N159" si="63">+I152*I6*I136</f>
        <v>1000</v>
      </c>
      <c r="J159" s="1">
        <f t="shared" si="63"/>
        <v>1000</v>
      </c>
      <c r="K159" s="1">
        <f t="shared" si="63"/>
        <v>1000</v>
      </c>
      <c r="L159" s="1">
        <f t="shared" si="63"/>
        <v>-1000</v>
      </c>
      <c r="M159" s="1">
        <f t="shared" si="63"/>
        <v>-1000</v>
      </c>
      <c r="N159" s="1">
        <f t="shared" si="63"/>
        <v>-1000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outlineLevel="1" x14ac:dyDescent="0.25">
      <c r="A160" s="97" t="s">
        <v>222</v>
      </c>
      <c r="B160" s="97"/>
      <c r="C160" s="102"/>
      <c r="D160" s="97"/>
      <c r="E160" s="97"/>
      <c r="F160" s="97"/>
      <c r="G160" s="97"/>
      <c r="H160" s="97"/>
      <c r="I160" s="97">
        <f t="shared" ref="I160:N160" si="64">SUM(I155:I159)</f>
        <v>2919.08</v>
      </c>
      <c r="J160" s="97">
        <f t="shared" si="64"/>
        <v>3494.08</v>
      </c>
      <c r="K160" s="97">
        <f t="shared" si="64"/>
        <v>3494.08</v>
      </c>
      <c r="L160" s="97">
        <f t="shared" si="64"/>
        <v>1494.08</v>
      </c>
      <c r="M160" s="97">
        <f t="shared" si="64"/>
        <v>119.07999999999993</v>
      </c>
      <c r="N160" s="97">
        <f t="shared" si="64"/>
        <v>2181.58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outlineLevel="1" x14ac:dyDescent="0.25">
      <c r="A161" s="1"/>
      <c r="B161" s="1"/>
      <c r="C161" s="2"/>
      <c r="D161" s="8"/>
      <c r="E161" s="8"/>
      <c r="F161" s="8"/>
      <c r="G161" s="8"/>
      <c r="H161" s="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outlineLevel="1" x14ac:dyDescent="0.25">
      <c r="A162" s="1"/>
      <c r="B162" s="1"/>
      <c r="C162" s="2"/>
      <c r="D162" s="8"/>
      <c r="E162" s="8"/>
      <c r="F162" s="8"/>
      <c r="G162" s="8"/>
      <c r="H162" s="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x14ac:dyDescent="0.25">
      <c r="A163" s="1"/>
      <c r="B163" s="1"/>
      <c r="C163" s="2"/>
      <c r="D163" s="8"/>
      <c r="E163" s="8"/>
      <c r="F163" s="8"/>
      <c r="G163" s="8"/>
      <c r="H163" s="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x14ac:dyDescent="0.35">
      <c r="A164" s="88" t="s">
        <v>138</v>
      </c>
      <c r="B164" s="89"/>
      <c r="C164" s="90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outlineLevel="1" x14ac:dyDescent="0.25">
      <c r="A165" s="14"/>
      <c r="B165" s="1"/>
      <c r="C165" s="2"/>
      <c r="D165" s="8"/>
      <c r="E165" s="8"/>
      <c r="F165" s="8"/>
      <c r="G165" s="8"/>
      <c r="H165" s="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outlineLevel="1" x14ac:dyDescent="0.25">
      <c r="A166" s="14" t="s">
        <v>0</v>
      </c>
      <c r="B166" s="8"/>
      <c r="C166" s="8"/>
      <c r="D166" s="8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outlineLevel="1" x14ac:dyDescent="0.25">
      <c r="A167" s="94" t="s">
        <v>223</v>
      </c>
      <c r="B167" s="95"/>
      <c r="C167" s="131"/>
      <c r="D167" s="144">
        <v>0.25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outlineLevel="1" x14ac:dyDescent="0.25">
      <c r="A168" s="1" t="s">
        <v>224</v>
      </c>
      <c r="B168" s="1"/>
      <c r="C168" s="41"/>
      <c r="D168" s="145">
        <v>0.12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outlineLevel="1" x14ac:dyDescent="0.25">
      <c r="A169" s="1" t="s">
        <v>225</v>
      </c>
      <c r="B169" s="1"/>
      <c r="C169" s="41"/>
      <c r="D169" s="145">
        <v>0.04</v>
      </c>
      <c r="E169" s="1"/>
      <c r="F169" s="1"/>
      <c r="G169" s="1"/>
      <c r="H169" s="1"/>
      <c r="I169" s="1"/>
      <c r="J169" s="61"/>
      <c r="K169" s="61"/>
      <c r="L169" s="61"/>
      <c r="M169" s="61"/>
      <c r="N169" s="6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outlineLevel="1" x14ac:dyDescent="0.25">
      <c r="A170" s="1" t="s">
        <v>226</v>
      </c>
      <c r="B170" s="1"/>
      <c r="C170" s="68"/>
      <c r="D170" s="146">
        <v>8</v>
      </c>
      <c r="E170" s="1"/>
      <c r="F170" s="1"/>
      <c r="G170" s="1"/>
      <c r="H170" s="1"/>
      <c r="I170" s="1"/>
      <c r="J170" s="61"/>
      <c r="K170" s="61"/>
      <c r="L170" s="61"/>
      <c r="M170" s="61"/>
      <c r="N170" s="6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outlineLevel="1" x14ac:dyDescent="0.25">
      <c r="A171" s="1" t="s">
        <v>227</v>
      </c>
      <c r="B171" s="1"/>
      <c r="C171" s="69">
        <f>+'M&amp;A Assumptions &amp; Analysis'!D28</f>
        <v>11.6325</v>
      </c>
      <c r="D171" s="1"/>
      <c r="E171" s="1"/>
      <c r="F171" s="1"/>
      <c r="G171" s="1"/>
      <c r="H171" s="1"/>
      <c r="I171" s="1"/>
      <c r="J171" s="61"/>
      <c r="K171" s="61"/>
      <c r="L171" s="61"/>
      <c r="M171" s="61"/>
      <c r="N171" s="6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outlineLevel="1" x14ac:dyDescent="0.25">
      <c r="A172" s="1" t="s">
        <v>148</v>
      </c>
      <c r="B172" s="1"/>
      <c r="C172" s="70">
        <f>+'M&amp;A Assumptions &amp; Analysis'!D25</f>
        <v>96000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outlineLevel="1" x14ac:dyDescent="0.25">
      <c r="A173" s="1"/>
      <c r="B173" s="1"/>
      <c r="C173" s="7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outlineLevel="1" x14ac:dyDescent="0.25">
      <c r="A174" s="1"/>
      <c r="B174" s="1"/>
      <c r="C174" s="15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outlineLevel="1" x14ac:dyDescent="0.25">
      <c r="A175" s="14" t="s">
        <v>228</v>
      </c>
      <c r="B175" s="1"/>
      <c r="C175" s="28" t="s">
        <v>229</v>
      </c>
      <c r="D175" s="72">
        <f>I2</f>
        <v>2025</v>
      </c>
      <c r="E175" s="73">
        <f t="shared" ref="E175:I175" si="65">+D175+1</f>
        <v>2026</v>
      </c>
      <c r="F175" s="73">
        <f t="shared" si="65"/>
        <v>2027</v>
      </c>
      <c r="G175" s="73">
        <f t="shared" si="65"/>
        <v>2028</v>
      </c>
      <c r="H175" s="73">
        <f t="shared" si="65"/>
        <v>2029</v>
      </c>
      <c r="I175" s="73">
        <f t="shared" si="65"/>
        <v>2030</v>
      </c>
      <c r="J175" s="28" t="s">
        <v>230</v>
      </c>
      <c r="K175" s="1"/>
      <c r="L175" s="14" t="s">
        <v>231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outlineLevel="1" x14ac:dyDescent="0.25">
      <c r="A176" s="132" t="s">
        <v>232</v>
      </c>
      <c r="B176" s="132"/>
      <c r="C176" s="133">
        <f>+H4</f>
        <v>45838</v>
      </c>
      <c r="D176" s="134">
        <f t="shared" ref="D176:I176" si="66">+DATE(D175,12,31)</f>
        <v>46022</v>
      </c>
      <c r="E176" s="134">
        <f t="shared" si="66"/>
        <v>46387</v>
      </c>
      <c r="F176" s="134">
        <f t="shared" si="66"/>
        <v>46752</v>
      </c>
      <c r="G176" s="134">
        <f t="shared" si="66"/>
        <v>47118</v>
      </c>
      <c r="H176" s="134">
        <f t="shared" si="66"/>
        <v>47483</v>
      </c>
      <c r="I176" s="134">
        <f t="shared" si="66"/>
        <v>47848</v>
      </c>
      <c r="J176" s="134">
        <f>+I176</f>
        <v>47848</v>
      </c>
      <c r="K176" s="1"/>
      <c r="L176" s="94" t="s">
        <v>233</v>
      </c>
      <c r="M176" s="94"/>
      <c r="N176" s="135">
        <f>C192/K183</f>
        <v>1.952294901314539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outlineLevel="1" x14ac:dyDescent="0.25">
      <c r="A177" s="25"/>
      <c r="B177" s="25"/>
      <c r="C177" s="25"/>
      <c r="D177" s="74"/>
      <c r="E177" s="74"/>
      <c r="F177" s="74"/>
      <c r="G177" s="74"/>
      <c r="H177" s="74"/>
      <c r="I177" s="74"/>
      <c r="J177" s="74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outlineLevel="1" x14ac:dyDescent="0.25">
      <c r="A178" s="25"/>
      <c r="B178" s="25"/>
      <c r="C178" s="25"/>
      <c r="D178" s="74"/>
      <c r="E178" s="74"/>
      <c r="F178" s="74"/>
      <c r="G178" s="74"/>
      <c r="H178" s="74"/>
      <c r="I178" s="74"/>
      <c r="J178" s="36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outlineLevel="1" x14ac:dyDescent="0.25">
      <c r="A179" s="1" t="s">
        <v>234</v>
      </c>
      <c r="B179" s="1"/>
      <c r="C179" s="1"/>
      <c r="D179" s="1">
        <f>I42+I40</f>
        <v>87098.872698924722</v>
      </c>
      <c r="E179" s="1">
        <f t="shared" ref="E179:I179" si="67">J42+J40</f>
        <v>97682.594703853087</v>
      </c>
      <c r="F179" s="1">
        <f t="shared" si="67"/>
        <v>109633.97567641579</v>
      </c>
      <c r="G179" s="1">
        <f t="shared" si="67"/>
        <v>120315.55301045737</v>
      </c>
      <c r="H179" s="1">
        <f t="shared" si="67"/>
        <v>127288.21608378999</v>
      </c>
      <c r="I179" s="1">
        <f t="shared" si="67"/>
        <v>135603.50708341785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outlineLevel="1" x14ac:dyDescent="0.25">
      <c r="A180" s="1" t="s">
        <v>235</v>
      </c>
      <c r="B180" s="1"/>
      <c r="C180" s="1"/>
      <c r="D180" s="172">
        <f>D179*D167</f>
        <v>21774.718174731181</v>
      </c>
      <c r="E180" s="172">
        <f>E179*D167</f>
        <v>24420.648675963272</v>
      </c>
      <c r="F180" s="172">
        <f>F179*D167</f>
        <v>27408.493919103948</v>
      </c>
      <c r="G180" s="172">
        <f>G179*D167</f>
        <v>30078.888252614342</v>
      </c>
      <c r="H180" s="172">
        <f>H179*D167</f>
        <v>31822.054020947497</v>
      </c>
      <c r="I180" s="172">
        <f>I179*D167</f>
        <v>33900.876770854462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outlineLevel="1" x14ac:dyDescent="0.25">
      <c r="A181" s="94" t="s">
        <v>236</v>
      </c>
      <c r="B181" s="94"/>
      <c r="C181" s="94"/>
      <c r="D181" s="135">
        <f>D179-D180</f>
        <v>65324.154524193538</v>
      </c>
      <c r="E181" s="135">
        <f t="shared" ref="E181:I181" si="68">E179-E180</f>
        <v>73261.946027889819</v>
      </c>
      <c r="F181" s="135">
        <f t="shared" si="68"/>
        <v>82225.481757311849</v>
      </c>
      <c r="G181" s="135">
        <f t="shared" si="68"/>
        <v>90236.664757843027</v>
      </c>
      <c r="H181" s="135">
        <f t="shared" si="68"/>
        <v>95466.162062842486</v>
      </c>
      <c r="I181" s="135">
        <f t="shared" si="68"/>
        <v>101702.63031256339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outlineLevel="1" x14ac:dyDescent="0.25">
      <c r="A182" s="1" t="s">
        <v>237</v>
      </c>
      <c r="B182" s="1"/>
      <c r="C182" s="1"/>
      <c r="D182" s="60">
        <v>-317.27999999999884</v>
      </c>
      <c r="E182" s="60">
        <v>3896.1760000000013</v>
      </c>
      <c r="F182" s="60">
        <v>7266.9408000000012</v>
      </c>
      <c r="G182" s="60">
        <v>9963.5526400000017</v>
      </c>
      <c r="H182" s="60">
        <v>12120.842112</v>
      </c>
      <c r="I182" s="60">
        <v>13846.673689600002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outlineLevel="1" x14ac:dyDescent="0.25">
      <c r="A183" s="1" t="s">
        <v>238</v>
      </c>
      <c r="B183" s="1"/>
      <c r="C183" s="1"/>
      <c r="D183" s="60">
        <f t="shared" ref="D183:I183" si="69">D182+D179</f>
        <v>86781.592698924724</v>
      </c>
      <c r="E183" s="60">
        <f t="shared" si="69"/>
        <v>101578.77070385309</v>
      </c>
      <c r="F183" s="60">
        <f t="shared" si="69"/>
        <v>116900.91647641579</v>
      </c>
      <c r="G183" s="60">
        <f t="shared" si="69"/>
        <v>130279.10565045738</v>
      </c>
      <c r="H183" s="60">
        <f t="shared" si="69"/>
        <v>139409.05819578998</v>
      </c>
      <c r="I183" s="60">
        <f t="shared" si="69"/>
        <v>149450.18077301784</v>
      </c>
      <c r="J183" s="1"/>
      <c r="K183" s="1">
        <f>SUM(D183:I183)</f>
        <v>724399.62449845881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outlineLevel="1" x14ac:dyDescent="0.25">
      <c r="A184" s="1" t="s">
        <v>239</v>
      </c>
      <c r="B184" s="1"/>
      <c r="C184" s="1"/>
      <c r="D184" s="1">
        <f t="shared" ref="D184:I184" si="70">+I110</f>
        <v>20750</v>
      </c>
      <c r="E184" s="1">
        <f t="shared" si="70"/>
        <v>20750</v>
      </c>
      <c r="F184" s="1">
        <f t="shared" si="70"/>
        <v>20750</v>
      </c>
      <c r="G184" s="1">
        <f t="shared" si="70"/>
        <v>20750</v>
      </c>
      <c r="H184" s="1">
        <f t="shared" si="70"/>
        <v>20750</v>
      </c>
      <c r="I184" s="1">
        <f t="shared" si="70"/>
        <v>20750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outlineLevel="1" x14ac:dyDescent="0.25">
      <c r="A185" s="1" t="s">
        <v>240</v>
      </c>
      <c r="B185" s="1"/>
      <c r="C185" s="1"/>
      <c r="D185" s="1">
        <v>148442.47165788512</v>
      </c>
      <c r="E185" s="1">
        <v>6607.6989745355204</v>
      </c>
      <c r="F185" s="1">
        <v>7431.7885818562972</v>
      </c>
      <c r="G185" s="1">
        <v>4162.2141844311118</v>
      </c>
      <c r="H185" s="1">
        <v>3932.5342007847285</v>
      </c>
      <c r="I185" s="1">
        <v>3183.6051916909273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outlineLevel="1" x14ac:dyDescent="0.25">
      <c r="A186" s="97" t="s">
        <v>241</v>
      </c>
      <c r="B186" s="97"/>
      <c r="C186" s="97"/>
      <c r="D186" s="97">
        <f>D181+D182-D184-D185</f>
        <v>-104185.59713369158</v>
      </c>
      <c r="E186" s="97">
        <f t="shared" ref="E186:I186" si="71">E181+E182-E184-E185</f>
        <v>49800.423053354301</v>
      </c>
      <c r="F186" s="97">
        <f t="shared" si="71"/>
        <v>61310.633975455552</v>
      </c>
      <c r="G186" s="97">
        <f t="shared" si="71"/>
        <v>75288.00321341191</v>
      </c>
      <c r="H186" s="97">
        <f t="shared" si="71"/>
        <v>82904.469974057749</v>
      </c>
      <c r="I186" s="97">
        <f t="shared" si="71"/>
        <v>91615.698810472473</v>
      </c>
      <c r="J186" s="97">
        <f>+N176</f>
        <v>1.952294901314539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outlineLevel="1" x14ac:dyDescent="0.25">
      <c r="A187" s="147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outlineLevel="1" x14ac:dyDescent="0.25">
      <c r="A188" s="14" t="s">
        <v>242</v>
      </c>
      <c r="B188" s="14"/>
      <c r="C188" s="51">
        <v>0</v>
      </c>
      <c r="D188" s="14">
        <f t="shared" ref="D188:J188" si="72">+D186</f>
        <v>-104185.59713369158</v>
      </c>
      <c r="E188" s="14">
        <f t="shared" si="72"/>
        <v>49800.423053354301</v>
      </c>
      <c r="F188" s="14">
        <f t="shared" si="72"/>
        <v>61310.633975455552</v>
      </c>
      <c r="G188" s="14">
        <f t="shared" si="72"/>
        <v>75288.00321341191</v>
      </c>
      <c r="H188" s="14">
        <f t="shared" si="72"/>
        <v>82904.469974057749</v>
      </c>
      <c r="I188" s="14">
        <f t="shared" si="72"/>
        <v>91615.698810472473</v>
      </c>
      <c r="J188" s="14">
        <f t="shared" si="72"/>
        <v>1.952294901314539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outlineLevel="1" x14ac:dyDescent="0.25">
      <c r="A189" s="147" t="s">
        <v>277</v>
      </c>
      <c r="B189" s="14"/>
      <c r="C189" s="51"/>
      <c r="D189" s="14">
        <f>D188/(1.12)^1</f>
        <v>-93022.854583653185</v>
      </c>
      <c r="E189" s="14">
        <f>E188/(1.12)^2</f>
        <v>39700.592357584734</v>
      </c>
      <c r="F189" s="14">
        <f>F188/(1.12)^3</f>
        <v>43639.698244647079</v>
      </c>
      <c r="G189" s="14">
        <f>G188/(1.12)^4</f>
        <v>47846.88712912429</v>
      </c>
      <c r="H189" s="14">
        <f>H188/(1.12)^5</f>
        <v>47042.222722396611</v>
      </c>
      <c r="I189" s="14">
        <f>I188/(1.12)^6</f>
        <v>46415.36420579339</v>
      </c>
      <c r="J189" s="14"/>
      <c r="K189" s="1">
        <f>SUM(D189:I189)</f>
        <v>131621.91007589293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outlineLevel="1" x14ac:dyDescent="0.25">
      <c r="A190" s="14" t="s">
        <v>243</v>
      </c>
      <c r="B190" s="14"/>
      <c r="C190" s="14">
        <v>-932075</v>
      </c>
      <c r="D190" s="14"/>
      <c r="E190" s="14"/>
      <c r="F190" s="14"/>
      <c r="G190" s="14"/>
      <c r="H190" s="14"/>
      <c r="I190" s="14"/>
      <c r="J190" s="14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outlineLevel="1" x14ac:dyDescent="0.25">
      <c r="A191" s="14" t="s">
        <v>231</v>
      </c>
      <c r="B191" s="14"/>
      <c r="C191" s="1">
        <f>I188*1.12/(D168-D169)</f>
        <v>1282619.7833466148</v>
      </c>
      <c r="D191" s="14"/>
      <c r="E191" s="14"/>
      <c r="F191" s="14"/>
      <c r="G191" s="14"/>
      <c r="H191" s="14"/>
      <c r="I191" s="14"/>
      <c r="J191" s="14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outlineLevel="1" x14ac:dyDescent="0.25">
      <c r="A192" s="14" t="s">
        <v>63</v>
      </c>
      <c r="B192" s="38"/>
      <c r="C192" s="1">
        <f>C191+K189</f>
        <v>1414241.6934225077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outlineLevel="1" x14ac:dyDescent="0.25">
      <c r="A193" s="14" t="s">
        <v>244</v>
      </c>
      <c r="B193" s="1"/>
      <c r="C193" s="1">
        <f>SUM(C190:C192)</f>
        <v>1764786.4767691225</v>
      </c>
      <c r="D193" s="1"/>
      <c r="E193" s="14" t="s">
        <v>245</v>
      </c>
      <c r="F193" s="1"/>
      <c r="G193" s="1"/>
      <c r="H193" s="1"/>
      <c r="I193" s="1"/>
      <c r="J193" s="14" t="s">
        <v>246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outlineLevel="1" x14ac:dyDescent="0.25">
      <c r="A194" s="94" t="s">
        <v>63</v>
      </c>
      <c r="B194" s="94"/>
      <c r="C194" s="191">
        <v>1414242</v>
      </c>
      <c r="D194" s="191"/>
      <c r="E194" s="94" t="s">
        <v>247</v>
      </c>
      <c r="F194" s="94"/>
      <c r="G194" s="189">
        <f>C171*C172</f>
        <v>1116720</v>
      </c>
      <c r="H194" s="1"/>
      <c r="I194" s="1"/>
      <c r="J194" s="94" t="s">
        <v>248</v>
      </c>
      <c r="K194" s="94"/>
      <c r="L194" s="115">
        <f>XIRR(D189:I189,D176:I176)</f>
        <v>0.37444221377372744</v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outlineLevel="1" x14ac:dyDescent="0.25">
      <c r="A195" s="1" t="s">
        <v>249</v>
      </c>
      <c r="B195" s="1"/>
      <c r="C195" s="1">
        <v>231446</v>
      </c>
      <c r="D195" s="1"/>
      <c r="E195" s="1" t="s">
        <v>250</v>
      </c>
      <c r="F195" s="1"/>
      <c r="G195" s="1">
        <v>46801</v>
      </c>
      <c r="H195" s="1"/>
      <c r="I195" s="1"/>
      <c r="J195" s="1"/>
      <c r="K195" s="1"/>
      <c r="L195" s="33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outlineLevel="1" x14ac:dyDescent="0.25">
      <c r="A196" s="1" t="s">
        <v>251</v>
      </c>
      <c r="B196" s="1"/>
      <c r="C196" s="1">
        <v>46801</v>
      </c>
      <c r="D196" s="1"/>
      <c r="E196" s="1" t="s">
        <v>252</v>
      </c>
      <c r="F196" s="1"/>
      <c r="G196" s="1">
        <v>231446</v>
      </c>
      <c r="H196" s="1"/>
      <c r="I196" s="1"/>
      <c r="J196" s="1"/>
      <c r="K196" s="1"/>
      <c r="L196" s="38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outlineLevel="1" x14ac:dyDescent="0.25">
      <c r="A197" s="1" t="s">
        <v>253</v>
      </c>
      <c r="B197" s="1"/>
      <c r="C197" s="94">
        <f>C194+C195-C196</f>
        <v>1598887</v>
      </c>
      <c r="D197" s="1"/>
      <c r="E197" s="1" t="s">
        <v>63</v>
      </c>
      <c r="F197" s="1"/>
      <c r="G197" s="1">
        <f>G194+G195-G196</f>
        <v>932075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outlineLevel="1" x14ac:dyDescent="0.25">
      <c r="A198" s="1"/>
      <c r="B198" s="1"/>
      <c r="C198" s="1"/>
      <c r="D198" s="1"/>
      <c r="E198" s="1"/>
      <c r="F198" s="1"/>
      <c r="G198" s="3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outlineLevel="1" x14ac:dyDescent="0.25">
      <c r="A199" s="14" t="s">
        <v>149</v>
      </c>
      <c r="B199" s="1"/>
      <c r="C199" s="136">
        <f>C197/C172</f>
        <v>16.655072916666665</v>
      </c>
      <c r="D199" s="1"/>
      <c r="E199" s="14" t="s">
        <v>149</v>
      </c>
      <c r="F199" s="14"/>
      <c r="G199" s="75">
        <f>C197/C172</f>
        <v>16.655072916666665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outlineLevel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outlineLevel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x14ac:dyDescent="0.35">
      <c r="A203" s="88" t="s">
        <v>254</v>
      </c>
      <c r="B203" s="89"/>
      <c r="C203" s="90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outlineLevel="1" x14ac:dyDescent="0.2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outlineLevel="1" x14ac:dyDescent="0.25">
      <c r="A205" s="14" t="s">
        <v>173</v>
      </c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outlineLevel="1" x14ac:dyDescent="0.25">
      <c r="A206" s="1" t="s">
        <v>88</v>
      </c>
      <c r="B206" s="1"/>
      <c r="C206" s="2"/>
      <c r="D206" s="24"/>
      <c r="E206" s="24"/>
      <c r="F206" s="24"/>
      <c r="G206" s="24"/>
      <c r="H206" s="24"/>
      <c r="I206" s="194">
        <v>165849.20000000001</v>
      </c>
      <c r="J206" s="194">
        <v>182434.12000000002</v>
      </c>
      <c r="K206" s="194">
        <v>200677.53200000004</v>
      </c>
      <c r="L206" s="194">
        <v>218738.50988000006</v>
      </c>
      <c r="M206" s="194">
        <v>236237.59067040007</v>
      </c>
      <c r="N206" s="194">
        <v>252774.22201732808</v>
      </c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outlineLevel="1" x14ac:dyDescent="0.25">
      <c r="A207" s="1" t="s">
        <v>89</v>
      </c>
      <c r="B207" s="1"/>
      <c r="C207" s="2"/>
      <c r="D207" s="24"/>
      <c r="E207" s="24"/>
      <c r="F207" s="24"/>
      <c r="G207" s="24"/>
      <c r="H207" s="24"/>
      <c r="I207" s="175">
        <v>97103.382616487448</v>
      </c>
      <c r="J207" s="175">
        <v>111668.89000896056</v>
      </c>
      <c r="K207" s="175">
        <v>125069.15681003584</v>
      </c>
      <c r="L207" s="175">
        <v>137576.07249103943</v>
      </c>
      <c r="M207" s="175">
        <v>148582.15829032261</v>
      </c>
      <c r="N207" s="175">
        <v>157497.08778774197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outlineLevel="1" x14ac:dyDescent="0.25">
      <c r="A208" s="1" t="s">
        <v>10</v>
      </c>
      <c r="B208" s="1"/>
      <c r="C208" s="2"/>
      <c r="D208" s="1"/>
      <c r="E208" s="1"/>
      <c r="F208" s="1"/>
      <c r="G208" s="1"/>
      <c r="H208" s="1"/>
      <c r="I208" s="175"/>
      <c r="J208" s="175">
        <f>5500*0.3</f>
        <v>1650</v>
      </c>
      <c r="K208" s="175">
        <f>5500*0.65</f>
        <v>3575</v>
      </c>
      <c r="L208" s="175">
        <f>5500*100%</f>
        <v>5500</v>
      </c>
      <c r="M208" s="175">
        <f t="shared" ref="M208:N208" si="73">+L208</f>
        <v>5500</v>
      </c>
      <c r="N208" s="175">
        <f t="shared" si="73"/>
        <v>5500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outlineLevel="1" x14ac:dyDescent="0.25">
      <c r="A209" s="97" t="s">
        <v>255</v>
      </c>
      <c r="B209" s="97"/>
      <c r="C209" s="102"/>
      <c r="D209" s="97"/>
      <c r="E209" s="97"/>
      <c r="F209" s="97"/>
      <c r="G209" s="97"/>
      <c r="H209" s="97"/>
      <c r="I209" s="97">
        <f t="shared" ref="I209:N209" si="74">SUM(I206:I208)</f>
        <v>262952.58261648746</v>
      </c>
      <c r="J209" s="97">
        <f t="shared" si="74"/>
        <v>295753.01000896061</v>
      </c>
      <c r="K209" s="97">
        <f t="shared" si="74"/>
        <v>329321.68881003588</v>
      </c>
      <c r="L209" s="97">
        <f t="shared" si="74"/>
        <v>361814.58237103949</v>
      </c>
      <c r="M209" s="97">
        <f t="shared" si="74"/>
        <v>390319.7489607227</v>
      </c>
      <c r="N209" s="97">
        <f t="shared" si="74"/>
        <v>415771.30980507005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outlineLevel="1" x14ac:dyDescent="0.2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outlineLevel="1" x14ac:dyDescent="0.25">
      <c r="A211" s="14" t="s">
        <v>256</v>
      </c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outlineLevel="1" x14ac:dyDescent="0.25">
      <c r="A212" s="1" t="s">
        <v>88</v>
      </c>
      <c r="B212" s="1"/>
      <c r="C212" s="2"/>
      <c r="D212" s="24"/>
      <c r="E212" s="24"/>
      <c r="F212" s="24"/>
      <c r="G212" s="24"/>
      <c r="H212" s="24"/>
      <c r="I212" s="175">
        <v>69656.664000000004</v>
      </c>
      <c r="J212" s="175">
        <v>78446.671600000016</v>
      </c>
      <c r="K212" s="175">
        <v>88298.114080000014</v>
      </c>
      <c r="L212" s="175">
        <v>98432.329446000032</v>
      </c>
      <c r="M212" s="175">
        <v>108669.29170838403</v>
      </c>
      <c r="N212" s="175">
        <v>116276.14212797092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outlineLevel="1" x14ac:dyDescent="0.25">
      <c r="A213" s="1" t="s">
        <v>89</v>
      </c>
      <c r="B213" s="1"/>
      <c r="C213" s="2"/>
      <c r="D213" s="24"/>
      <c r="E213" s="24"/>
      <c r="F213" s="24"/>
      <c r="G213" s="24"/>
      <c r="H213" s="24"/>
      <c r="I213" s="175">
        <v>40783.420698924725</v>
      </c>
      <c r="J213" s="175">
        <v>45784.244903673825</v>
      </c>
      <c r="K213" s="175">
        <v>50027.662724014343</v>
      </c>
      <c r="L213" s="175">
        <v>55030.42899641578</v>
      </c>
      <c r="M213" s="175">
        <v>59432.863316129049</v>
      </c>
      <c r="N213" s="175">
        <v>62998.835115096794</v>
      </c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outlineLevel="1" x14ac:dyDescent="0.25">
      <c r="A214" s="1" t="s">
        <v>10</v>
      </c>
      <c r="B214" s="1"/>
      <c r="C214" s="2"/>
      <c r="D214" s="1"/>
      <c r="E214" s="1"/>
      <c r="F214" s="1"/>
      <c r="G214" s="1"/>
      <c r="H214" s="1"/>
      <c r="I214" s="175"/>
      <c r="J214" s="175">
        <f>-(875*0.3)</f>
        <v>-262.5</v>
      </c>
      <c r="K214" s="175">
        <f>-875*0.65</f>
        <v>-568.75</v>
      </c>
      <c r="L214" s="175">
        <f>-875*100%</f>
        <v>-875</v>
      </c>
      <c r="M214" s="175">
        <f t="shared" ref="M214:N214" si="75">+L214</f>
        <v>-875</v>
      </c>
      <c r="N214" s="175">
        <f t="shared" si="75"/>
        <v>-875</v>
      </c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outlineLevel="1" x14ac:dyDescent="0.25">
      <c r="A215" s="97" t="s">
        <v>255</v>
      </c>
      <c r="B215" s="97"/>
      <c r="C215" s="102"/>
      <c r="D215" s="97"/>
      <c r="E215" s="97"/>
      <c r="F215" s="97"/>
      <c r="G215" s="97"/>
      <c r="H215" s="97"/>
      <c r="I215" s="97">
        <f t="shared" ref="I215:N215" si="76">SUM(I212:I214)</f>
        <v>110440.08469892474</v>
      </c>
      <c r="J215" s="97">
        <f t="shared" si="76"/>
        <v>123968.41650367384</v>
      </c>
      <c r="K215" s="97">
        <f t="shared" si="76"/>
        <v>137757.02680401434</v>
      </c>
      <c r="L215" s="97">
        <f t="shared" si="76"/>
        <v>152587.7584424158</v>
      </c>
      <c r="M215" s="97">
        <f t="shared" si="76"/>
        <v>167227.15502451308</v>
      </c>
      <c r="N215" s="97">
        <f t="shared" si="76"/>
        <v>178399.9772430677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outlineLevel="1" x14ac:dyDescent="0.2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outlineLevel="1" x14ac:dyDescent="0.25">
      <c r="A217" s="14" t="s">
        <v>177</v>
      </c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outlineLevel="1" x14ac:dyDescent="0.25">
      <c r="A218" s="1" t="s">
        <v>88</v>
      </c>
      <c r="B218" s="1"/>
      <c r="C218" s="2"/>
      <c r="D218" s="24"/>
      <c r="E218" s="24"/>
      <c r="F218" s="24"/>
      <c r="G218" s="24"/>
      <c r="H218" s="24"/>
      <c r="I218" s="175">
        <v>28194.364000000005</v>
      </c>
      <c r="J218" s="175">
        <v>31013.800400000007</v>
      </c>
      <c r="K218" s="175">
        <v>34115.180440000011</v>
      </c>
      <c r="L218" s="175">
        <v>37185.546679600011</v>
      </c>
      <c r="M218" s="175">
        <v>40160.390413968016</v>
      </c>
      <c r="N218" s="175">
        <v>42971.617742945775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outlineLevel="1" x14ac:dyDescent="0.25">
      <c r="A219" s="1" t="s">
        <v>89</v>
      </c>
      <c r="B219" s="1"/>
      <c r="C219" s="2"/>
      <c r="D219" s="24"/>
      <c r="E219" s="24"/>
      <c r="F219" s="24"/>
      <c r="G219" s="24"/>
      <c r="H219" s="24"/>
      <c r="I219" s="175">
        <v>15536.541218637993</v>
      </c>
      <c r="J219" s="175">
        <v>17867.022401433689</v>
      </c>
      <c r="K219" s="175">
        <v>20011.065089605734</v>
      </c>
      <c r="L219" s="175">
        <v>22012.17159856631</v>
      </c>
      <c r="M219" s="175">
        <v>23773.145326451617</v>
      </c>
      <c r="N219" s="175">
        <v>25199.534046038716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outlineLevel="1" x14ac:dyDescent="0.25">
      <c r="A220" s="1" t="s">
        <v>10</v>
      </c>
      <c r="B220" s="1"/>
      <c r="C220" s="2"/>
      <c r="D220" s="1"/>
      <c r="E220" s="1"/>
      <c r="F220" s="1"/>
      <c r="G220" s="1"/>
      <c r="H220" s="1"/>
      <c r="I220" s="175"/>
      <c r="J220" s="175">
        <f>-1250*0.3</f>
        <v>-375</v>
      </c>
      <c r="K220" s="175">
        <f>-1250*0.65</f>
        <v>-812.5</v>
      </c>
      <c r="L220" s="175">
        <f>-1250*100%</f>
        <v>-1250</v>
      </c>
      <c r="M220" s="175">
        <f t="shared" ref="M220:N220" si="77">-1250*100%</f>
        <v>-1250</v>
      </c>
      <c r="N220" s="175">
        <f t="shared" si="77"/>
        <v>-1250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outlineLevel="1" x14ac:dyDescent="0.25">
      <c r="A221" s="97" t="s">
        <v>255</v>
      </c>
      <c r="B221" s="97"/>
      <c r="C221" s="102"/>
      <c r="D221" s="97"/>
      <c r="E221" s="97"/>
      <c r="F221" s="97"/>
      <c r="G221" s="97"/>
      <c r="H221" s="97"/>
      <c r="I221" s="97">
        <f t="shared" ref="I221:N221" si="78">SUM(I218:I220)</f>
        <v>43730.905218637999</v>
      </c>
      <c r="J221" s="97">
        <f t="shared" si="78"/>
        <v>48505.822801433693</v>
      </c>
      <c r="K221" s="97">
        <f t="shared" si="78"/>
        <v>53313.745529605745</v>
      </c>
      <c r="L221" s="97">
        <f t="shared" si="78"/>
        <v>57947.718278166321</v>
      </c>
      <c r="M221" s="97">
        <f t="shared" si="78"/>
        <v>62683.535740419633</v>
      </c>
      <c r="N221" s="97">
        <f t="shared" si="78"/>
        <v>66921.151788984484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outlineLevel="1" x14ac:dyDescent="0.2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outlineLevel="1" x14ac:dyDescent="0.25">
      <c r="A223" s="14" t="s">
        <v>178</v>
      </c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outlineLevel="1" x14ac:dyDescent="0.25">
      <c r="A224" s="1" t="s">
        <v>88</v>
      </c>
      <c r="B224" s="1"/>
      <c r="C224" s="2"/>
      <c r="D224" s="24"/>
      <c r="E224" s="24"/>
      <c r="F224" s="24"/>
      <c r="G224" s="24"/>
      <c r="H224" s="24"/>
      <c r="I224" s="175">
        <v>15000</v>
      </c>
      <c r="J224" s="175">
        <v>15000</v>
      </c>
      <c r="K224" s="175">
        <v>15000</v>
      </c>
      <c r="L224" s="175">
        <v>15000</v>
      </c>
      <c r="M224" s="175">
        <v>15000</v>
      </c>
      <c r="N224" s="175">
        <v>15000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outlineLevel="1" x14ac:dyDescent="0.25">
      <c r="A225" s="1" t="s">
        <v>89</v>
      </c>
      <c r="B225" s="1"/>
      <c r="C225" s="2"/>
      <c r="D225" s="24"/>
      <c r="E225" s="24"/>
      <c r="F225" s="24"/>
      <c r="G225" s="24"/>
      <c r="H225" s="24"/>
      <c r="I225" s="175">
        <v>7000</v>
      </c>
      <c r="J225" s="175">
        <v>7000</v>
      </c>
      <c r="K225" s="175">
        <v>7000</v>
      </c>
      <c r="L225" s="175">
        <v>7000</v>
      </c>
      <c r="M225" s="175">
        <v>7000</v>
      </c>
      <c r="N225" s="175">
        <v>7000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outlineLevel="1" x14ac:dyDescent="0.25">
      <c r="A226" s="1" t="s">
        <v>10</v>
      </c>
      <c r="B226" s="1"/>
      <c r="C226" s="2"/>
      <c r="D226" s="1"/>
      <c r="E226" s="1"/>
      <c r="F226" s="1"/>
      <c r="G226" s="1"/>
      <c r="H226" s="1"/>
      <c r="I226" s="175"/>
      <c r="J226" s="175">
        <f>-1000*0.3</f>
        <v>-300</v>
      </c>
      <c r="K226" s="175">
        <f>-1000*0.65</f>
        <v>-650</v>
      </c>
      <c r="L226" s="175">
        <f>-1000*100%</f>
        <v>-1000</v>
      </c>
      <c r="M226" s="175">
        <f t="shared" ref="M226:N226" si="79">-1000*100%</f>
        <v>-1000</v>
      </c>
      <c r="N226" s="175">
        <f t="shared" si="79"/>
        <v>-1000</v>
      </c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outlineLevel="1" x14ac:dyDescent="0.25">
      <c r="A227" s="97" t="s">
        <v>255</v>
      </c>
      <c r="B227" s="97"/>
      <c r="C227" s="102"/>
      <c r="D227" s="97"/>
      <c r="E227" s="97"/>
      <c r="F227" s="97"/>
      <c r="G227" s="97"/>
      <c r="H227" s="97"/>
      <c r="I227" s="97">
        <f t="shared" ref="I227:N227" si="80">SUM(I224:I226)</f>
        <v>22000</v>
      </c>
      <c r="J227" s="97">
        <f t="shared" si="80"/>
        <v>21700</v>
      </c>
      <c r="K227" s="97">
        <f t="shared" si="80"/>
        <v>21350</v>
      </c>
      <c r="L227" s="97">
        <f t="shared" si="80"/>
        <v>21000</v>
      </c>
      <c r="M227" s="97">
        <f t="shared" si="80"/>
        <v>21000</v>
      </c>
      <c r="N227" s="97">
        <f t="shared" si="80"/>
        <v>21000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outlineLevel="1" x14ac:dyDescent="0.2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x14ac:dyDescent="0.2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x14ac:dyDescent="0.2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x14ac:dyDescent="0.2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x14ac:dyDescent="0.2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x14ac:dyDescent="0.2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x14ac:dyDescent="0.2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x14ac:dyDescent="0.2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x14ac:dyDescent="0.2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x14ac:dyDescent="0.2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x14ac:dyDescent="0.2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x14ac:dyDescent="0.2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x14ac:dyDescent="0.2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x14ac:dyDescent="0.2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x14ac:dyDescent="0.2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x14ac:dyDescent="0.2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x14ac:dyDescent="0.2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x14ac:dyDescent="0.2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x14ac:dyDescent="0.2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x14ac:dyDescent="0.2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x14ac:dyDescent="0.2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x14ac:dyDescent="0.2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x14ac:dyDescent="0.2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x14ac:dyDescent="0.2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x14ac:dyDescent="0.2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x14ac:dyDescent="0.2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x14ac:dyDescent="0.2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x14ac:dyDescent="0.2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x14ac:dyDescent="0.2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x14ac:dyDescent="0.2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x14ac:dyDescent="0.2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x14ac:dyDescent="0.2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x14ac:dyDescent="0.2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x14ac:dyDescent="0.2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x14ac:dyDescent="0.2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x14ac:dyDescent="0.2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x14ac:dyDescent="0.2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x14ac:dyDescent="0.2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x14ac:dyDescent="0.2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x14ac:dyDescent="0.2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x14ac:dyDescent="0.2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x14ac:dyDescent="0.2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x14ac:dyDescent="0.2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x14ac:dyDescent="0.2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x14ac:dyDescent="0.2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x14ac:dyDescent="0.2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x14ac:dyDescent="0.2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x14ac:dyDescent="0.2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x14ac:dyDescent="0.2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x14ac:dyDescent="0.2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x14ac:dyDescent="0.2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x14ac:dyDescent="0.2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x14ac:dyDescent="0.2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x14ac:dyDescent="0.2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x14ac:dyDescent="0.2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x14ac:dyDescent="0.2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x14ac:dyDescent="0.2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x14ac:dyDescent="0.2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x14ac:dyDescent="0.2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x14ac:dyDescent="0.2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x14ac:dyDescent="0.2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x14ac:dyDescent="0.2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x14ac:dyDescent="0.2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x14ac:dyDescent="0.2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x14ac:dyDescent="0.2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x14ac:dyDescent="0.2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x14ac:dyDescent="0.2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x14ac:dyDescent="0.2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x14ac:dyDescent="0.2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x14ac:dyDescent="0.2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x14ac:dyDescent="0.2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x14ac:dyDescent="0.2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x14ac:dyDescent="0.2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x14ac:dyDescent="0.2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x14ac:dyDescent="0.2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x14ac:dyDescent="0.2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x14ac:dyDescent="0.2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x14ac:dyDescent="0.2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x14ac:dyDescent="0.2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x14ac:dyDescent="0.2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x14ac:dyDescent="0.2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x14ac:dyDescent="0.2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x14ac:dyDescent="0.2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x14ac:dyDescent="0.2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x14ac:dyDescent="0.2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x14ac:dyDescent="0.2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x14ac:dyDescent="0.2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x14ac:dyDescent="0.2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x14ac:dyDescent="0.2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x14ac:dyDescent="0.2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x14ac:dyDescent="0.2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x14ac:dyDescent="0.2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x14ac:dyDescent="0.2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x14ac:dyDescent="0.2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x14ac:dyDescent="0.2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x14ac:dyDescent="0.2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x14ac:dyDescent="0.2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x14ac:dyDescent="0.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x14ac:dyDescent="0.2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x14ac:dyDescent="0.2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x14ac:dyDescent="0.2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x14ac:dyDescent="0.2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x14ac:dyDescent="0.2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x14ac:dyDescent="0.2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x14ac:dyDescent="0.2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x14ac:dyDescent="0.2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x14ac:dyDescent="0.2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x14ac:dyDescent="0.2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x14ac:dyDescent="0.2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x14ac:dyDescent="0.2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x14ac:dyDescent="0.2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x14ac:dyDescent="0.2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x14ac:dyDescent="0.2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x14ac:dyDescent="0.2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x14ac:dyDescent="0.2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x14ac:dyDescent="0.2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x14ac:dyDescent="0.2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x14ac:dyDescent="0.2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x14ac:dyDescent="0.2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x14ac:dyDescent="0.2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x14ac:dyDescent="0.2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x14ac:dyDescent="0.2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x14ac:dyDescent="0.2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x14ac:dyDescent="0.2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x14ac:dyDescent="0.2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x14ac:dyDescent="0.2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x14ac:dyDescent="0.2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x14ac:dyDescent="0.2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x14ac:dyDescent="0.2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x14ac:dyDescent="0.2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x14ac:dyDescent="0.2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x14ac:dyDescent="0.2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x14ac:dyDescent="0.2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x14ac:dyDescent="0.2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x14ac:dyDescent="0.2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x14ac:dyDescent="0.2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x14ac:dyDescent="0.2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x14ac:dyDescent="0.2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x14ac:dyDescent="0.2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x14ac:dyDescent="0.2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x14ac:dyDescent="0.2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x14ac:dyDescent="0.2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x14ac:dyDescent="0.2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x14ac:dyDescent="0.2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x14ac:dyDescent="0.2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x14ac:dyDescent="0.2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x14ac:dyDescent="0.2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x14ac:dyDescent="0.2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x14ac:dyDescent="0.2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x14ac:dyDescent="0.2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x14ac:dyDescent="0.2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x14ac:dyDescent="0.2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x14ac:dyDescent="0.2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x14ac:dyDescent="0.2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x14ac:dyDescent="0.2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x14ac:dyDescent="0.2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x14ac:dyDescent="0.2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x14ac:dyDescent="0.2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x14ac:dyDescent="0.2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x14ac:dyDescent="0.2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x14ac:dyDescent="0.2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x14ac:dyDescent="0.2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x14ac:dyDescent="0.2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x14ac:dyDescent="0.2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x14ac:dyDescent="0.2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x14ac:dyDescent="0.2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x14ac:dyDescent="0.2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x14ac:dyDescent="0.2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x14ac:dyDescent="0.2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x14ac:dyDescent="0.2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x14ac:dyDescent="0.2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x14ac:dyDescent="0.2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x14ac:dyDescent="0.2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x14ac:dyDescent="0.2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x14ac:dyDescent="0.2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x14ac:dyDescent="0.2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x14ac:dyDescent="0.2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x14ac:dyDescent="0.2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x14ac:dyDescent="0.2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x14ac:dyDescent="0.2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x14ac:dyDescent="0.2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x14ac:dyDescent="0.2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x14ac:dyDescent="0.2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x14ac:dyDescent="0.2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x14ac:dyDescent="0.2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x14ac:dyDescent="0.2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x14ac:dyDescent="0.2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x14ac:dyDescent="0.2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x14ac:dyDescent="0.2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x14ac:dyDescent="0.2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x14ac:dyDescent="0.2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x14ac:dyDescent="0.2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x14ac:dyDescent="0.2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x14ac:dyDescent="0.2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x14ac:dyDescent="0.2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x14ac:dyDescent="0.2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x14ac:dyDescent="0.2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x14ac:dyDescent="0.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x14ac:dyDescent="0.2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x14ac:dyDescent="0.2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x14ac:dyDescent="0.2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x14ac:dyDescent="0.2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x14ac:dyDescent="0.2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x14ac:dyDescent="0.2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x14ac:dyDescent="0.2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x14ac:dyDescent="0.2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x14ac:dyDescent="0.2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x14ac:dyDescent="0.2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x14ac:dyDescent="0.2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x14ac:dyDescent="0.2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x14ac:dyDescent="0.2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x14ac:dyDescent="0.2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x14ac:dyDescent="0.2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x14ac:dyDescent="0.2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x14ac:dyDescent="0.2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x14ac:dyDescent="0.2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x14ac:dyDescent="0.2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x14ac:dyDescent="0.2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x14ac:dyDescent="0.2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x14ac:dyDescent="0.2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x14ac:dyDescent="0.2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x14ac:dyDescent="0.2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x14ac:dyDescent="0.2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x14ac:dyDescent="0.2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x14ac:dyDescent="0.2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x14ac:dyDescent="0.2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x14ac:dyDescent="0.2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x14ac:dyDescent="0.2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x14ac:dyDescent="0.2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x14ac:dyDescent="0.2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x14ac:dyDescent="0.2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x14ac:dyDescent="0.2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x14ac:dyDescent="0.2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x14ac:dyDescent="0.2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x14ac:dyDescent="0.2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x14ac:dyDescent="0.2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x14ac:dyDescent="0.2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x14ac:dyDescent="0.2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x14ac:dyDescent="0.2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x14ac:dyDescent="0.2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x14ac:dyDescent="0.2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x14ac:dyDescent="0.2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x14ac:dyDescent="0.2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x14ac:dyDescent="0.2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x14ac:dyDescent="0.2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x14ac:dyDescent="0.2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x14ac:dyDescent="0.2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x14ac:dyDescent="0.2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x14ac:dyDescent="0.2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x14ac:dyDescent="0.2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x14ac:dyDescent="0.2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x14ac:dyDescent="0.2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x14ac:dyDescent="0.2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x14ac:dyDescent="0.2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x14ac:dyDescent="0.2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x14ac:dyDescent="0.2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x14ac:dyDescent="0.2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x14ac:dyDescent="0.2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x14ac:dyDescent="0.2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x14ac:dyDescent="0.2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x14ac:dyDescent="0.2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x14ac:dyDescent="0.2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x14ac:dyDescent="0.2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x14ac:dyDescent="0.2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x14ac:dyDescent="0.2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x14ac:dyDescent="0.2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x14ac:dyDescent="0.2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x14ac:dyDescent="0.2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x14ac:dyDescent="0.2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x14ac:dyDescent="0.2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x14ac:dyDescent="0.2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x14ac:dyDescent="0.2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x14ac:dyDescent="0.2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x14ac:dyDescent="0.2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x14ac:dyDescent="0.2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x14ac:dyDescent="0.2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x14ac:dyDescent="0.2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x14ac:dyDescent="0.2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x14ac:dyDescent="0.2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x14ac:dyDescent="0.2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x14ac:dyDescent="0.2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x14ac:dyDescent="0.2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x14ac:dyDescent="0.2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x14ac:dyDescent="0.2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x14ac:dyDescent="0.2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x14ac:dyDescent="0.2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x14ac:dyDescent="0.2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x14ac:dyDescent="0.2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x14ac:dyDescent="0.2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x14ac:dyDescent="0.2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x14ac:dyDescent="0.2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x14ac:dyDescent="0.2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x14ac:dyDescent="0.2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x14ac:dyDescent="0.2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x14ac:dyDescent="0.2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x14ac:dyDescent="0.2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x14ac:dyDescent="0.2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x14ac:dyDescent="0.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x14ac:dyDescent="0.2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x14ac:dyDescent="0.2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x14ac:dyDescent="0.2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x14ac:dyDescent="0.2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x14ac:dyDescent="0.2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x14ac:dyDescent="0.2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x14ac:dyDescent="0.2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x14ac:dyDescent="0.2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x14ac:dyDescent="0.2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x14ac:dyDescent="0.2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x14ac:dyDescent="0.2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x14ac:dyDescent="0.2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x14ac:dyDescent="0.2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x14ac:dyDescent="0.2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x14ac:dyDescent="0.2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x14ac:dyDescent="0.2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x14ac:dyDescent="0.2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x14ac:dyDescent="0.2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x14ac:dyDescent="0.2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x14ac:dyDescent="0.2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x14ac:dyDescent="0.2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x14ac:dyDescent="0.2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x14ac:dyDescent="0.2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x14ac:dyDescent="0.2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x14ac:dyDescent="0.2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x14ac:dyDescent="0.2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x14ac:dyDescent="0.2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x14ac:dyDescent="0.2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x14ac:dyDescent="0.2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x14ac:dyDescent="0.2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x14ac:dyDescent="0.2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x14ac:dyDescent="0.2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x14ac:dyDescent="0.2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x14ac:dyDescent="0.2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x14ac:dyDescent="0.2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x14ac:dyDescent="0.2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x14ac:dyDescent="0.2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x14ac:dyDescent="0.2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x14ac:dyDescent="0.2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x14ac:dyDescent="0.2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x14ac:dyDescent="0.2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x14ac:dyDescent="0.2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x14ac:dyDescent="0.2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x14ac:dyDescent="0.2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x14ac:dyDescent="0.2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x14ac:dyDescent="0.2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x14ac:dyDescent="0.2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x14ac:dyDescent="0.2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x14ac:dyDescent="0.2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x14ac:dyDescent="0.2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x14ac:dyDescent="0.2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x14ac:dyDescent="0.2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x14ac:dyDescent="0.2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x14ac:dyDescent="0.2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x14ac:dyDescent="0.2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x14ac:dyDescent="0.2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x14ac:dyDescent="0.2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x14ac:dyDescent="0.2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x14ac:dyDescent="0.2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x14ac:dyDescent="0.2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x14ac:dyDescent="0.2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x14ac:dyDescent="0.2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x14ac:dyDescent="0.2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x14ac:dyDescent="0.2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x14ac:dyDescent="0.2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x14ac:dyDescent="0.2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x14ac:dyDescent="0.2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x14ac:dyDescent="0.2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x14ac:dyDescent="0.2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x14ac:dyDescent="0.2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x14ac:dyDescent="0.2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x14ac:dyDescent="0.2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x14ac:dyDescent="0.2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x14ac:dyDescent="0.2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x14ac:dyDescent="0.2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x14ac:dyDescent="0.2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x14ac:dyDescent="0.2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x14ac:dyDescent="0.2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x14ac:dyDescent="0.2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x14ac:dyDescent="0.2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x14ac:dyDescent="0.2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x14ac:dyDescent="0.2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x14ac:dyDescent="0.2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x14ac:dyDescent="0.2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x14ac:dyDescent="0.2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x14ac:dyDescent="0.2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x14ac:dyDescent="0.2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x14ac:dyDescent="0.2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x14ac:dyDescent="0.2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x14ac:dyDescent="0.2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x14ac:dyDescent="0.2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x14ac:dyDescent="0.2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x14ac:dyDescent="0.2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x14ac:dyDescent="0.2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x14ac:dyDescent="0.2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x14ac:dyDescent="0.2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x14ac:dyDescent="0.2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x14ac:dyDescent="0.2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x14ac:dyDescent="0.2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x14ac:dyDescent="0.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x14ac:dyDescent="0.2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x14ac:dyDescent="0.2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x14ac:dyDescent="0.2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x14ac:dyDescent="0.2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x14ac:dyDescent="0.2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x14ac:dyDescent="0.2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x14ac:dyDescent="0.2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x14ac:dyDescent="0.2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x14ac:dyDescent="0.2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x14ac:dyDescent="0.2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x14ac:dyDescent="0.2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x14ac:dyDescent="0.2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x14ac:dyDescent="0.2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x14ac:dyDescent="0.2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x14ac:dyDescent="0.2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x14ac:dyDescent="0.2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x14ac:dyDescent="0.2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x14ac:dyDescent="0.2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x14ac:dyDescent="0.2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x14ac:dyDescent="0.2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x14ac:dyDescent="0.2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x14ac:dyDescent="0.2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x14ac:dyDescent="0.2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x14ac:dyDescent="0.2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x14ac:dyDescent="0.2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x14ac:dyDescent="0.2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x14ac:dyDescent="0.2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x14ac:dyDescent="0.2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x14ac:dyDescent="0.2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x14ac:dyDescent="0.2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x14ac:dyDescent="0.2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x14ac:dyDescent="0.2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x14ac:dyDescent="0.2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x14ac:dyDescent="0.2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x14ac:dyDescent="0.2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x14ac:dyDescent="0.2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x14ac:dyDescent="0.2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x14ac:dyDescent="0.2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x14ac:dyDescent="0.2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x14ac:dyDescent="0.2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x14ac:dyDescent="0.2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x14ac:dyDescent="0.2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x14ac:dyDescent="0.2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x14ac:dyDescent="0.2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x14ac:dyDescent="0.2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x14ac:dyDescent="0.2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x14ac:dyDescent="0.2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x14ac:dyDescent="0.2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x14ac:dyDescent="0.2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x14ac:dyDescent="0.2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x14ac:dyDescent="0.2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x14ac:dyDescent="0.2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x14ac:dyDescent="0.2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x14ac:dyDescent="0.2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x14ac:dyDescent="0.2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x14ac:dyDescent="0.2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x14ac:dyDescent="0.2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x14ac:dyDescent="0.2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x14ac:dyDescent="0.2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x14ac:dyDescent="0.2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x14ac:dyDescent="0.2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x14ac:dyDescent="0.2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x14ac:dyDescent="0.2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x14ac:dyDescent="0.2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x14ac:dyDescent="0.2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x14ac:dyDescent="0.2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x14ac:dyDescent="0.2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x14ac:dyDescent="0.2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x14ac:dyDescent="0.2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x14ac:dyDescent="0.2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x14ac:dyDescent="0.2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x14ac:dyDescent="0.2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x14ac:dyDescent="0.2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x14ac:dyDescent="0.2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x14ac:dyDescent="0.2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x14ac:dyDescent="0.2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x14ac:dyDescent="0.2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x14ac:dyDescent="0.2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x14ac:dyDescent="0.2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x14ac:dyDescent="0.2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x14ac:dyDescent="0.2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x14ac:dyDescent="0.2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x14ac:dyDescent="0.2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x14ac:dyDescent="0.2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x14ac:dyDescent="0.2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x14ac:dyDescent="0.2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x14ac:dyDescent="0.2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x14ac:dyDescent="0.2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x14ac:dyDescent="0.2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x14ac:dyDescent="0.2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x14ac:dyDescent="0.2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x14ac:dyDescent="0.2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x14ac:dyDescent="0.2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x14ac:dyDescent="0.2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x14ac:dyDescent="0.2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x14ac:dyDescent="0.2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x14ac:dyDescent="0.2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x14ac:dyDescent="0.2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x14ac:dyDescent="0.2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x14ac:dyDescent="0.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x14ac:dyDescent="0.2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x14ac:dyDescent="0.2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x14ac:dyDescent="0.2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x14ac:dyDescent="0.2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x14ac:dyDescent="0.2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x14ac:dyDescent="0.2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x14ac:dyDescent="0.2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x14ac:dyDescent="0.2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x14ac:dyDescent="0.2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x14ac:dyDescent="0.2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x14ac:dyDescent="0.2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x14ac:dyDescent="0.2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x14ac:dyDescent="0.2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x14ac:dyDescent="0.2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x14ac:dyDescent="0.2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x14ac:dyDescent="0.2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x14ac:dyDescent="0.2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x14ac:dyDescent="0.2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x14ac:dyDescent="0.2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x14ac:dyDescent="0.2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x14ac:dyDescent="0.2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x14ac:dyDescent="0.2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x14ac:dyDescent="0.2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x14ac:dyDescent="0.2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x14ac:dyDescent="0.2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x14ac:dyDescent="0.2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x14ac:dyDescent="0.2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x14ac:dyDescent="0.2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x14ac:dyDescent="0.2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x14ac:dyDescent="0.2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x14ac:dyDescent="0.2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x14ac:dyDescent="0.2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x14ac:dyDescent="0.2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x14ac:dyDescent="0.2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x14ac:dyDescent="0.2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x14ac:dyDescent="0.2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x14ac:dyDescent="0.2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x14ac:dyDescent="0.2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x14ac:dyDescent="0.2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x14ac:dyDescent="0.2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x14ac:dyDescent="0.2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x14ac:dyDescent="0.2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x14ac:dyDescent="0.2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x14ac:dyDescent="0.2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x14ac:dyDescent="0.2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x14ac:dyDescent="0.2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x14ac:dyDescent="0.2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x14ac:dyDescent="0.2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x14ac:dyDescent="0.2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x14ac:dyDescent="0.2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x14ac:dyDescent="0.2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x14ac:dyDescent="0.2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x14ac:dyDescent="0.2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x14ac:dyDescent="0.2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x14ac:dyDescent="0.2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x14ac:dyDescent="0.2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x14ac:dyDescent="0.2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x14ac:dyDescent="0.2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x14ac:dyDescent="0.2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x14ac:dyDescent="0.2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x14ac:dyDescent="0.2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x14ac:dyDescent="0.2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x14ac:dyDescent="0.2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x14ac:dyDescent="0.2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x14ac:dyDescent="0.2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x14ac:dyDescent="0.2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x14ac:dyDescent="0.2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x14ac:dyDescent="0.2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x14ac:dyDescent="0.2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x14ac:dyDescent="0.2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x14ac:dyDescent="0.2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x14ac:dyDescent="0.2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x14ac:dyDescent="0.2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x14ac:dyDescent="0.2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x14ac:dyDescent="0.2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x14ac:dyDescent="0.2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x14ac:dyDescent="0.2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x14ac:dyDescent="0.2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x14ac:dyDescent="0.2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x14ac:dyDescent="0.2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x14ac:dyDescent="0.2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x14ac:dyDescent="0.2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x14ac:dyDescent="0.2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x14ac:dyDescent="0.2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x14ac:dyDescent="0.2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x14ac:dyDescent="0.2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x14ac:dyDescent="0.2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x14ac:dyDescent="0.2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x14ac:dyDescent="0.2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x14ac:dyDescent="0.2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x14ac:dyDescent="0.2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x14ac:dyDescent="0.2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x14ac:dyDescent="0.2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x14ac:dyDescent="0.2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x14ac:dyDescent="0.2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x14ac:dyDescent="0.2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x14ac:dyDescent="0.2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x14ac:dyDescent="0.2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x14ac:dyDescent="0.2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x14ac:dyDescent="0.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x14ac:dyDescent="0.2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x14ac:dyDescent="0.2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x14ac:dyDescent="0.2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x14ac:dyDescent="0.2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x14ac:dyDescent="0.2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x14ac:dyDescent="0.2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x14ac:dyDescent="0.2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x14ac:dyDescent="0.2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x14ac:dyDescent="0.2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x14ac:dyDescent="0.2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x14ac:dyDescent="0.2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x14ac:dyDescent="0.2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x14ac:dyDescent="0.2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x14ac:dyDescent="0.2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x14ac:dyDescent="0.2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x14ac:dyDescent="0.2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x14ac:dyDescent="0.2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x14ac:dyDescent="0.2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x14ac:dyDescent="0.2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x14ac:dyDescent="0.2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x14ac:dyDescent="0.2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x14ac:dyDescent="0.2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x14ac:dyDescent="0.2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x14ac:dyDescent="0.2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x14ac:dyDescent="0.2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x14ac:dyDescent="0.2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x14ac:dyDescent="0.2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x14ac:dyDescent="0.2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x14ac:dyDescent="0.2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x14ac:dyDescent="0.2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x14ac:dyDescent="0.2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x14ac:dyDescent="0.2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x14ac:dyDescent="0.2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x14ac:dyDescent="0.2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x14ac:dyDescent="0.2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x14ac:dyDescent="0.2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x14ac:dyDescent="0.2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x14ac:dyDescent="0.2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x14ac:dyDescent="0.2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x14ac:dyDescent="0.2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x14ac:dyDescent="0.2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x14ac:dyDescent="0.2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x14ac:dyDescent="0.2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x14ac:dyDescent="0.2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x14ac:dyDescent="0.2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x14ac:dyDescent="0.2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x14ac:dyDescent="0.2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x14ac:dyDescent="0.2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x14ac:dyDescent="0.2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x14ac:dyDescent="0.2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x14ac:dyDescent="0.2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x14ac:dyDescent="0.2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x14ac:dyDescent="0.2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x14ac:dyDescent="0.2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x14ac:dyDescent="0.2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x14ac:dyDescent="0.2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x14ac:dyDescent="0.2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x14ac:dyDescent="0.2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x14ac:dyDescent="0.2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x14ac:dyDescent="0.2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x14ac:dyDescent="0.2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x14ac:dyDescent="0.2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x14ac:dyDescent="0.2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x14ac:dyDescent="0.2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x14ac:dyDescent="0.2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x14ac:dyDescent="0.2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x14ac:dyDescent="0.2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x14ac:dyDescent="0.2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x14ac:dyDescent="0.2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x14ac:dyDescent="0.2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x14ac:dyDescent="0.2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x14ac:dyDescent="0.2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x14ac:dyDescent="0.2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x14ac:dyDescent="0.2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x14ac:dyDescent="0.2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x14ac:dyDescent="0.2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x14ac:dyDescent="0.2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x14ac:dyDescent="0.2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x14ac:dyDescent="0.2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x14ac:dyDescent="0.2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x14ac:dyDescent="0.2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x14ac:dyDescent="0.2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x14ac:dyDescent="0.2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x14ac:dyDescent="0.2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x14ac:dyDescent="0.2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x14ac:dyDescent="0.2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x14ac:dyDescent="0.2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x14ac:dyDescent="0.2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x14ac:dyDescent="0.2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x14ac:dyDescent="0.2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x14ac:dyDescent="0.2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x14ac:dyDescent="0.2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x14ac:dyDescent="0.2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x14ac:dyDescent="0.2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x14ac:dyDescent="0.2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x14ac:dyDescent="0.2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x14ac:dyDescent="0.2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x14ac:dyDescent="0.2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x14ac:dyDescent="0.2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x14ac:dyDescent="0.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x14ac:dyDescent="0.2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x14ac:dyDescent="0.2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x14ac:dyDescent="0.2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x14ac:dyDescent="0.2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x14ac:dyDescent="0.2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x14ac:dyDescent="0.2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x14ac:dyDescent="0.2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x14ac:dyDescent="0.2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x14ac:dyDescent="0.2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x14ac:dyDescent="0.2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x14ac:dyDescent="0.2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x14ac:dyDescent="0.2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x14ac:dyDescent="0.2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x14ac:dyDescent="0.2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x14ac:dyDescent="0.2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x14ac:dyDescent="0.2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x14ac:dyDescent="0.2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x14ac:dyDescent="0.2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x14ac:dyDescent="0.2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x14ac:dyDescent="0.2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x14ac:dyDescent="0.2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x14ac:dyDescent="0.2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x14ac:dyDescent="0.2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x14ac:dyDescent="0.2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x14ac:dyDescent="0.2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x14ac:dyDescent="0.2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x14ac:dyDescent="0.2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x14ac:dyDescent="0.2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x14ac:dyDescent="0.2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x14ac:dyDescent="0.2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x14ac:dyDescent="0.2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x14ac:dyDescent="0.2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x14ac:dyDescent="0.2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x14ac:dyDescent="0.2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x14ac:dyDescent="0.2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x14ac:dyDescent="0.2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x14ac:dyDescent="0.2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x14ac:dyDescent="0.2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x14ac:dyDescent="0.2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x14ac:dyDescent="0.2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x14ac:dyDescent="0.2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x14ac:dyDescent="0.2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x14ac:dyDescent="0.2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x14ac:dyDescent="0.2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x14ac:dyDescent="0.2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x14ac:dyDescent="0.2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x14ac:dyDescent="0.2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x14ac:dyDescent="0.2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x14ac:dyDescent="0.2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x14ac:dyDescent="0.2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x14ac:dyDescent="0.2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x14ac:dyDescent="0.2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x14ac:dyDescent="0.2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x14ac:dyDescent="0.2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x14ac:dyDescent="0.2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x14ac:dyDescent="0.2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x14ac:dyDescent="0.2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x14ac:dyDescent="0.2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x14ac:dyDescent="0.2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x14ac:dyDescent="0.2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x14ac:dyDescent="0.2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x14ac:dyDescent="0.2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x14ac:dyDescent="0.2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x14ac:dyDescent="0.2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x14ac:dyDescent="0.2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x14ac:dyDescent="0.2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x14ac:dyDescent="0.2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x14ac:dyDescent="0.2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x14ac:dyDescent="0.2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x14ac:dyDescent="0.2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x14ac:dyDescent="0.2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x14ac:dyDescent="0.25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x14ac:dyDescent="0.25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x14ac:dyDescent="0.25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x14ac:dyDescent="0.25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x14ac:dyDescent="0.25">
      <c r="A1001" s="1"/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">
    <mergeCell ref="I1:N1"/>
  </mergeCells>
  <conditionalFormatting sqref="D3:G3 D4:N6">
    <cfRule type="containsText" dxfId="19" priority="1" operator="containsText" text="OK">
      <formula>NOT(ISERROR(SEARCH(("OK"),(D3))))</formula>
    </cfRule>
    <cfRule type="containsText" dxfId="18" priority="2" operator="containsText" text="ERROR">
      <formula>NOT(ISERROR(SEARCH(("ERROR"),(D3))))</formula>
    </cfRule>
  </conditionalFormatting>
  <pageMargins left="0.7" right="0.7" top="0.75" bottom="0.75" header="0" footer="0"/>
  <pageSetup scale="82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2"/>
  <sheetViews>
    <sheetView showGridLines="0" workbookViewId="0">
      <pane xSplit="3" ySplit="6" topLeftCell="D180" activePane="bottomRight" state="frozen"/>
      <selection pane="topRight" activeCell="D1" sqref="D1"/>
      <selection pane="bottomLeft" activeCell="A7" sqref="A7"/>
      <selection pane="bottomRight" activeCell="D174" sqref="D174"/>
    </sheetView>
  </sheetViews>
  <sheetFormatPr defaultColWidth="12.5703125" defaultRowHeight="15" customHeight="1" outlineLevelRow="1" x14ac:dyDescent="0.2"/>
  <cols>
    <col min="1" max="1" width="17.42578125" customWidth="1"/>
    <col min="2" max="2" width="14.42578125" customWidth="1"/>
    <col min="3" max="3" width="16.85546875" customWidth="1"/>
    <col min="4" max="16" width="14.42578125" customWidth="1"/>
    <col min="17" max="26" width="9.140625" customWidth="1"/>
  </cols>
  <sheetData>
    <row r="1" spans="1:26" ht="15.75" x14ac:dyDescent="0.25">
      <c r="A1" s="118"/>
      <c r="B1" s="119"/>
      <c r="C1" s="120"/>
      <c r="D1" s="202" t="s">
        <v>257</v>
      </c>
      <c r="E1" s="198"/>
      <c r="F1" s="198"/>
      <c r="G1" s="198"/>
      <c r="H1" s="198"/>
      <c r="I1" s="201" t="s">
        <v>154</v>
      </c>
      <c r="J1" s="198"/>
      <c r="K1" s="198"/>
      <c r="L1" s="198"/>
      <c r="M1" s="198"/>
      <c r="N1" s="198"/>
      <c r="O1" s="203" t="s">
        <v>258</v>
      </c>
      <c r="P1" s="198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 x14ac:dyDescent="0.35">
      <c r="A2" s="83" t="str">
        <f>'M&amp;A Assumptions &amp; Analysis'!D6&amp; " Model"</f>
        <v>Online Company Inc Model</v>
      </c>
      <c r="B2" s="84"/>
      <c r="C2" s="85"/>
      <c r="D2" s="137">
        <v>2020</v>
      </c>
      <c r="E2" s="137">
        <f t="shared" ref="E2:N2" si="0">+D2+1</f>
        <v>2021</v>
      </c>
      <c r="F2" s="137">
        <f t="shared" si="0"/>
        <v>2022</v>
      </c>
      <c r="G2" s="137">
        <f t="shared" si="0"/>
        <v>2023</v>
      </c>
      <c r="H2" s="137">
        <f t="shared" si="0"/>
        <v>2024</v>
      </c>
      <c r="I2" s="87">
        <f t="shared" si="0"/>
        <v>2025</v>
      </c>
      <c r="J2" s="87">
        <f t="shared" si="0"/>
        <v>2026</v>
      </c>
      <c r="K2" s="87">
        <f t="shared" si="0"/>
        <v>2027</v>
      </c>
      <c r="L2" s="87">
        <f t="shared" si="0"/>
        <v>2028</v>
      </c>
      <c r="M2" s="87">
        <f t="shared" si="0"/>
        <v>2029</v>
      </c>
      <c r="N2" s="87">
        <f t="shared" si="0"/>
        <v>2030</v>
      </c>
      <c r="O2" s="138">
        <f t="shared" ref="O2:P2" si="1">+O4</f>
        <v>45838</v>
      </c>
      <c r="P2" s="138">
        <f t="shared" si="1"/>
        <v>46203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outlineLevel="1" x14ac:dyDescent="0.25">
      <c r="A3" s="42" t="s">
        <v>157</v>
      </c>
      <c r="B3" s="42"/>
      <c r="C3" s="76"/>
      <c r="D3" s="3" t="str">
        <f t="shared" ref="D3:N3" si="2">IFERROR(IF(ABS(D101)&gt;1,"ERROR","ok"),"ok")</f>
        <v>ok</v>
      </c>
      <c r="E3" s="3" t="str">
        <f t="shared" si="2"/>
        <v>ok</v>
      </c>
      <c r="F3" s="3" t="str">
        <f t="shared" si="2"/>
        <v>ok</v>
      </c>
      <c r="G3" s="3" t="str">
        <f t="shared" si="2"/>
        <v>ok</v>
      </c>
      <c r="H3" s="3" t="str">
        <f t="shared" si="2"/>
        <v>ok</v>
      </c>
      <c r="I3" s="3" t="str">
        <f t="shared" si="2"/>
        <v>ok</v>
      </c>
      <c r="J3" s="3" t="str">
        <f t="shared" si="2"/>
        <v>ok</v>
      </c>
      <c r="K3" s="3" t="str">
        <f t="shared" si="2"/>
        <v>ok</v>
      </c>
      <c r="L3" s="3" t="str">
        <f t="shared" si="2"/>
        <v>ok</v>
      </c>
      <c r="M3" s="3" t="str">
        <f t="shared" si="2"/>
        <v>ok</v>
      </c>
      <c r="N3" s="3" t="str">
        <f t="shared" si="2"/>
        <v>ok</v>
      </c>
      <c r="O3" s="3"/>
      <c r="P3" s="3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outlineLevel="1" x14ac:dyDescent="0.25">
      <c r="A4" s="42" t="s">
        <v>158</v>
      </c>
      <c r="B4" s="1"/>
      <c r="C4" s="2"/>
      <c r="D4" s="43">
        <v>44196</v>
      </c>
      <c r="E4" s="44">
        <f t="shared" ref="E4:N4" si="3">EOMONTH(D4,12)</f>
        <v>44561</v>
      </c>
      <c r="F4" s="44">
        <f t="shared" si="3"/>
        <v>44926</v>
      </c>
      <c r="G4" s="44">
        <f t="shared" si="3"/>
        <v>45291</v>
      </c>
      <c r="H4" s="44">
        <f t="shared" si="3"/>
        <v>45657</v>
      </c>
      <c r="I4" s="44">
        <f t="shared" si="3"/>
        <v>46022</v>
      </c>
      <c r="J4" s="44">
        <f t="shared" si="3"/>
        <v>46387</v>
      </c>
      <c r="K4" s="44">
        <f t="shared" si="3"/>
        <v>46752</v>
      </c>
      <c r="L4" s="44">
        <f t="shared" si="3"/>
        <v>47118</v>
      </c>
      <c r="M4" s="44">
        <f t="shared" si="3"/>
        <v>47483</v>
      </c>
      <c r="N4" s="44">
        <f t="shared" si="3"/>
        <v>47848</v>
      </c>
      <c r="O4" s="77">
        <f>+'M&amp;A Assumptions &amp; Analysis'!D10</f>
        <v>45838</v>
      </c>
      <c r="P4" s="44">
        <f>+EOMONTH(O4,P6*12)</f>
        <v>46203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outlineLevel="1" x14ac:dyDescent="0.25">
      <c r="A5" s="42" t="s">
        <v>159</v>
      </c>
      <c r="B5" s="1"/>
      <c r="C5" s="2"/>
      <c r="D5" s="45">
        <v>366</v>
      </c>
      <c r="E5" s="46">
        <f t="shared" ref="E5:N5" si="4">E4-D4</f>
        <v>365</v>
      </c>
      <c r="F5" s="46">
        <f t="shared" si="4"/>
        <v>365</v>
      </c>
      <c r="G5" s="46">
        <f t="shared" si="4"/>
        <v>365</v>
      </c>
      <c r="H5" s="46">
        <f t="shared" si="4"/>
        <v>366</v>
      </c>
      <c r="I5" s="46">
        <f t="shared" si="4"/>
        <v>365</v>
      </c>
      <c r="J5" s="46">
        <f t="shared" si="4"/>
        <v>365</v>
      </c>
      <c r="K5" s="46">
        <f t="shared" si="4"/>
        <v>365</v>
      </c>
      <c r="L5" s="46">
        <v>365</v>
      </c>
      <c r="M5" s="46">
        <f t="shared" si="4"/>
        <v>365</v>
      </c>
      <c r="N5" s="46">
        <f t="shared" si="4"/>
        <v>365</v>
      </c>
      <c r="O5" s="3">
        <v>365</v>
      </c>
      <c r="P5" s="46">
        <v>365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outlineLevel="1" x14ac:dyDescent="0.25">
      <c r="A6" s="42" t="s">
        <v>160</v>
      </c>
      <c r="B6" s="1"/>
      <c r="C6" s="2"/>
      <c r="D6" s="47">
        <v>1</v>
      </c>
      <c r="E6" s="48">
        <f t="shared" ref="E6:N6" si="5">D6</f>
        <v>1</v>
      </c>
      <c r="F6" s="48">
        <f t="shared" si="5"/>
        <v>1</v>
      </c>
      <c r="G6" s="48">
        <f t="shared" si="5"/>
        <v>1</v>
      </c>
      <c r="H6" s="48">
        <f t="shared" si="5"/>
        <v>1</v>
      </c>
      <c r="I6" s="48">
        <f t="shared" si="5"/>
        <v>1</v>
      </c>
      <c r="J6" s="48">
        <f t="shared" si="5"/>
        <v>1</v>
      </c>
      <c r="K6" s="48">
        <f t="shared" si="5"/>
        <v>1</v>
      </c>
      <c r="L6" s="48">
        <f t="shared" si="5"/>
        <v>1</v>
      </c>
      <c r="M6" s="48">
        <f t="shared" si="5"/>
        <v>1</v>
      </c>
      <c r="N6" s="48">
        <f t="shared" si="5"/>
        <v>1</v>
      </c>
      <c r="O6" s="48">
        <v>1</v>
      </c>
      <c r="P6" s="78">
        <v>1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x14ac:dyDescent="0.25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" x14ac:dyDescent="0.35">
      <c r="A8" s="88" t="s">
        <v>0</v>
      </c>
      <c r="B8" s="89"/>
      <c r="C8" s="90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outlineLevel="1" x14ac:dyDescent="0.25">
      <c r="A9" s="1"/>
      <c r="B9" s="1"/>
      <c r="C9" s="2"/>
      <c r="D9" s="1"/>
      <c r="E9" s="1"/>
      <c r="F9" s="1"/>
      <c r="G9" s="1"/>
      <c r="H9" s="1"/>
      <c r="I9" s="8"/>
      <c r="J9" s="8"/>
      <c r="K9" s="8"/>
      <c r="L9" s="8"/>
      <c r="M9" s="8"/>
      <c r="N9" s="8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outlineLevel="1" x14ac:dyDescent="0.25">
      <c r="A10" s="1"/>
      <c r="B10" s="1"/>
      <c r="C10" s="2"/>
      <c r="D10" s="1"/>
      <c r="E10" s="1"/>
      <c r="F10" s="1"/>
      <c r="G10" s="3"/>
      <c r="H10" s="3" t="s">
        <v>259</v>
      </c>
      <c r="I10" s="79">
        <v>1</v>
      </c>
      <c r="J10" s="3"/>
      <c r="K10" s="1"/>
      <c r="L10" s="8"/>
      <c r="M10" s="8"/>
      <c r="N10" s="8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outlineLevel="1" x14ac:dyDescent="0.25">
      <c r="A11" s="1"/>
      <c r="B11" s="1"/>
      <c r="C11" s="2"/>
      <c r="D11" s="1"/>
      <c r="E11" s="1"/>
      <c r="F11" s="1"/>
      <c r="G11" s="1"/>
      <c r="H11" s="1"/>
      <c r="I11" s="8"/>
      <c r="J11" s="8"/>
      <c r="K11" s="8"/>
      <c r="L11" s="8"/>
      <c r="M11" s="8"/>
      <c r="N11" s="8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outlineLevel="1" x14ac:dyDescent="0.25">
      <c r="A12" s="14" t="s">
        <v>260</v>
      </c>
      <c r="B12" s="1"/>
      <c r="C12" s="2"/>
      <c r="D12" s="1"/>
      <c r="E12" s="1"/>
      <c r="F12" s="1"/>
      <c r="G12" s="1"/>
      <c r="H12" s="80"/>
      <c r="I12" s="81"/>
      <c r="J12" s="81"/>
      <c r="K12" s="81"/>
      <c r="L12" s="81"/>
      <c r="M12" s="81"/>
      <c r="N12" s="8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outlineLevel="1" x14ac:dyDescent="0.25">
      <c r="A13" s="94" t="s">
        <v>162</v>
      </c>
      <c r="B13" s="97"/>
      <c r="C13" s="102"/>
      <c r="D13" s="97"/>
      <c r="E13" s="117"/>
      <c r="F13" s="117"/>
      <c r="G13" s="117"/>
      <c r="H13" s="117"/>
      <c r="I13" s="139">
        <v>0.1</v>
      </c>
      <c r="J13" s="139">
        <v>0.1</v>
      </c>
      <c r="K13" s="139">
        <v>0.1</v>
      </c>
      <c r="L13" s="139">
        <v>0.09</v>
      </c>
      <c r="M13" s="139">
        <v>0.08</v>
      </c>
      <c r="N13" s="139">
        <v>7.0000000000000007E-2</v>
      </c>
      <c r="O13" s="139">
        <v>0.1</v>
      </c>
      <c r="P13" s="139">
        <v>0.1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outlineLevel="1" x14ac:dyDescent="0.25">
      <c r="A14" s="1" t="s">
        <v>163</v>
      </c>
      <c r="B14" s="1"/>
      <c r="C14" s="2"/>
      <c r="D14" s="22"/>
      <c r="E14" s="22"/>
      <c r="F14" s="22"/>
      <c r="G14" s="22"/>
      <c r="H14" s="22"/>
      <c r="I14" s="55">
        <v>0.42</v>
      </c>
      <c r="J14" s="55">
        <v>0.43</v>
      </c>
      <c r="K14" s="55">
        <v>0.44</v>
      </c>
      <c r="L14" s="55">
        <v>0.45</v>
      </c>
      <c r="M14" s="55">
        <v>0.46</v>
      </c>
      <c r="N14" s="55">
        <v>0.46</v>
      </c>
      <c r="O14" s="55">
        <v>0.42</v>
      </c>
      <c r="P14" s="55">
        <v>0.42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outlineLevel="1" x14ac:dyDescent="0.25">
      <c r="A15" s="1" t="s">
        <v>261</v>
      </c>
      <c r="B15" s="1"/>
      <c r="C15" s="2"/>
      <c r="D15" s="22"/>
      <c r="E15" s="22"/>
      <c r="F15" s="22"/>
      <c r="G15" s="22"/>
      <c r="H15" s="22"/>
      <c r="I15" s="55">
        <v>0.17</v>
      </c>
      <c r="J15" s="55">
        <v>0.17</v>
      </c>
      <c r="K15" s="55">
        <v>0.17</v>
      </c>
      <c r="L15" s="55">
        <v>0.17</v>
      </c>
      <c r="M15" s="55">
        <v>0.17</v>
      </c>
      <c r="N15" s="55">
        <v>0.17</v>
      </c>
      <c r="O15" s="55">
        <v>0.17</v>
      </c>
      <c r="P15" s="55">
        <v>0.17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outlineLevel="1" x14ac:dyDescent="0.25">
      <c r="A16" s="1" t="s">
        <v>262</v>
      </c>
      <c r="B16" s="1"/>
      <c r="C16" s="2"/>
      <c r="D16" s="1"/>
      <c r="E16" s="1"/>
      <c r="F16" s="1"/>
      <c r="G16" s="1"/>
      <c r="H16" s="1"/>
      <c r="I16" s="4">
        <v>15000</v>
      </c>
      <c r="J16" s="4">
        <v>15000</v>
      </c>
      <c r="K16" s="4">
        <v>15000</v>
      </c>
      <c r="L16" s="4">
        <v>15000</v>
      </c>
      <c r="M16" s="4">
        <v>15000</v>
      </c>
      <c r="N16" s="4">
        <v>15000</v>
      </c>
      <c r="O16" s="4">
        <v>15000</v>
      </c>
      <c r="P16" s="4">
        <v>15000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outlineLevel="1" x14ac:dyDescent="0.25">
      <c r="A17" s="1" t="s">
        <v>165</v>
      </c>
      <c r="B17" s="1"/>
      <c r="C17" s="2"/>
      <c r="D17" s="22"/>
      <c r="E17" s="22"/>
      <c r="F17" s="22"/>
      <c r="G17" s="22"/>
      <c r="H17" s="22"/>
      <c r="I17" s="55">
        <v>0.2</v>
      </c>
      <c r="J17" s="55">
        <v>0.2</v>
      </c>
      <c r="K17" s="55">
        <v>0.2</v>
      </c>
      <c r="L17" s="55">
        <v>0.2</v>
      </c>
      <c r="M17" s="55">
        <v>0.2</v>
      </c>
      <c r="N17" s="55">
        <v>0.2</v>
      </c>
      <c r="O17" s="55">
        <v>0.2</v>
      </c>
      <c r="P17" s="55">
        <v>0.2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outlineLevel="1" x14ac:dyDescent="0.25">
      <c r="A18" s="1" t="s">
        <v>263</v>
      </c>
      <c r="B18" s="1"/>
      <c r="C18" s="2"/>
      <c r="D18" s="22"/>
      <c r="E18" s="22"/>
      <c r="F18" s="22"/>
      <c r="G18" s="22"/>
      <c r="H18" s="22"/>
      <c r="I18" s="55">
        <v>0.1</v>
      </c>
      <c r="J18" s="55">
        <v>0.1</v>
      </c>
      <c r="K18" s="55">
        <v>0.1</v>
      </c>
      <c r="L18" s="55">
        <v>0.1</v>
      </c>
      <c r="M18" s="55">
        <v>0.1</v>
      </c>
      <c r="N18" s="55">
        <v>0.1</v>
      </c>
      <c r="O18" s="55">
        <v>0.1</v>
      </c>
      <c r="P18" s="55">
        <v>0.1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outlineLevel="1" x14ac:dyDescent="0.25">
      <c r="A19" s="1" t="s">
        <v>166</v>
      </c>
      <c r="B19" s="25"/>
      <c r="C19" s="26"/>
      <c r="D19" s="22"/>
      <c r="E19" s="22"/>
      <c r="F19" s="22"/>
      <c r="G19" s="22"/>
      <c r="H19" s="22"/>
      <c r="I19" s="55">
        <v>0.28000000000000003</v>
      </c>
      <c r="J19" s="55">
        <v>0.28000000000000003</v>
      </c>
      <c r="K19" s="55">
        <v>0.28000000000000003</v>
      </c>
      <c r="L19" s="55">
        <v>0.28000000000000003</v>
      </c>
      <c r="M19" s="55">
        <v>0.28000000000000003</v>
      </c>
      <c r="N19" s="55">
        <v>0.28000000000000003</v>
      </c>
      <c r="O19" s="55">
        <v>0.28000000000000003</v>
      </c>
      <c r="P19" s="55">
        <v>0.28000000000000003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outlineLevel="1" x14ac:dyDescent="0.25">
      <c r="A20" s="1" t="s">
        <v>167</v>
      </c>
      <c r="B20" s="1"/>
      <c r="C20" s="57"/>
      <c r="D20" s="1"/>
      <c r="E20" s="1"/>
      <c r="F20" s="1"/>
      <c r="G20" s="1"/>
      <c r="H20" s="1"/>
      <c r="I20" s="4">
        <v>18</v>
      </c>
      <c r="J20" s="4">
        <v>18</v>
      </c>
      <c r="K20" s="4">
        <v>18</v>
      </c>
      <c r="L20" s="4">
        <v>18</v>
      </c>
      <c r="M20" s="4">
        <v>18</v>
      </c>
      <c r="N20" s="4">
        <v>18</v>
      </c>
      <c r="O20" s="4">
        <v>18</v>
      </c>
      <c r="P20" s="4">
        <v>18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outlineLevel="1" x14ac:dyDescent="0.25">
      <c r="A21" s="1" t="s">
        <v>168</v>
      </c>
      <c r="B21" s="1"/>
      <c r="C21" s="57"/>
      <c r="D21" s="1"/>
      <c r="E21" s="1"/>
      <c r="F21" s="1"/>
      <c r="G21" s="1"/>
      <c r="H21" s="1"/>
      <c r="I21" s="4">
        <v>80</v>
      </c>
      <c r="J21" s="4">
        <v>90</v>
      </c>
      <c r="K21" s="4">
        <v>100</v>
      </c>
      <c r="L21" s="4">
        <v>100</v>
      </c>
      <c r="M21" s="4">
        <v>100</v>
      </c>
      <c r="N21" s="4">
        <v>100</v>
      </c>
      <c r="O21" s="4">
        <v>80</v>
      </c>
      <c r="P21" s="4">
        <v>80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outlineLevel="1" x14ac:dyDescent="0.25">
      <c r="A22" s="1" t="s">
        <v>169</v>
      </c>
      <c r="B22" s="1"/>
      <c r="C22" s="57"/>
      <c r="D22" s="1"/>
      <c r="E22" s="1"/>
      <c r="F22" s="1"/>
      <c r="G22" s="1"/>
      <c r="H22" s="1"/>
      <c r="I22" s="4">
        <v>37</v>
      </c>
      <c r="J22" s="4">
        <v>37</v>
      </c>
      <c r="K22" s="4">
        <v>37</v>
      </c>
      <c r="L22" s="4">
        <v>37</v>
      </c>
      <c r="M22" s="4">
        <v>37</v>
      </c>
      <c r="N22" s="4">
        <v>37</v>
      </c>
      <c r="O22" s="4">
        <v>37</v>
      </c>
      <c r="P22" s="4">
        <v>37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outlineLevel="1" x14ac:dyDescent="0.25">
      <c r="A23" s="1" t="s">
        <v>264</v>
      </c>
      <c r="B23" s="1"/>
      <c r="C23" s="2"/>
      <c r="D23" s="1"/>
      <c r="E23" s="1"/>
      <c r="F23" s="1"/>
      <c r="G23" s="1"/>
      <c r="H23" s="1"/>
      <c r="I23" s="4">
        <v>15000</v>
      </c>
      <c r="J23" s="4">
        <v>15000</v>
      </c>
      <c r="K23" s="4">
        <v>15000</v>
      </c>
      <c r="L23" s="4">
        <v>15000</v>
      </c>
      <c r="M23" s="4">
        <v>15000</v>
      </c>
      <c r="N23" s="4">
        <v>15000</v>
      </c>
      <c r="O23" s="4">
        <v>15000</v>
      </c>
      <c r="P23" s="4">
        <v>15000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outlineLevel="1" x14ac:dyDescent="0.25">
      <c r="A24" s="1" t="s">
        <v>265</v>
      </c>
      <c r="B24" s="1"/>
      <c r="C24" s="2"/>
      <c r="D24" s="1"/>
      <c r="E24" s="1"/>
      <c r="F24" s="1"/>
      <c r="G24" s="1"/>
      <c r="H24" s="1"/>
      <c r="I24" s="4">
        <v>0</v>
      </c>
      <c r="J24" s="4">
        <v>0</v>
      </c>
      <c r="K24" s="4">
        <v>-20000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outlineLevel="1" x14ac:dyDescent="0.25">
      <c r="A25" s="1" t="s">
        <v>170</v>
      </c>
      <c r="B25" s="1"/>
      <c r="C25" s="2"/>
      <c r="D25" s="1"/>
      <c r="E25" s="1"/>
      <c r="F25" s="1"/>
      <c r="G25" s="1"/>
      <c r="H25" s="1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outlineLevel="1" x14ac:dyDescent="0.25">
      <c r="A26" s="1" t="s">
        <v>198</v>
      </c>
      <c r="B26" s="1"/>
      <c r="C26" s="2"/>
      <c r="D26" s="1"/>
      <c r="E26" s="1"/>
      <c r="F26" s="1"/>
      <c r="G26" s="1"/>
      <c r="H26" s="1"/>
      <c r="I26" s="4">
        <v>0</v>
      </c>
      <c r="J26" s="4">
        <v>0</v>
      </c>
      <c r="K26" s="4">
        <v>0</v>
      </c>
      <c r="L26" s="4">
        <v>0</v>
      </c>
      <c r="M26" s="4">
        <v>200</v>
      </c>
      <c r="N26" s="4">
        <v>200</v>
      </c>
      <c r="O26" s="4">
        <v>0</v>
      </c>
      <c r="P26" s="4">
        <v>0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outlineLevel="1" x14ac:dyDescent="0.25">
      <c r="A27" s="1"/>
      <c r="B27" s="1"/>
      <c r="C27" s="2"/>
      <c r="D27" s="1"/>
      <c r="E27" s="1"/>
      <c r="F27" s="1"/>
      <c r="G27" s="1"/>
      <c r="H27" s="1"/>
      <c r="I27" s="8"/>
      <c r="J27" s="8"/>
      <c r="K27" s="8"/>
      <c r="L27" s="8"/>
      <c r="M27" s="8"/>
      <c r="N27" s="8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outlineLevel="1" x14ac:dyDescent="0.25">
      <c r="A28" s="14" t="s">
        <v>266</v>
      </c>
      <c r="B28" s="1"/>
      <c r="C28" s="2"/>
      <c r="D28" s="1"/>
      <c r="E28" s="1"/>
      <c r="F28" s="1"/>
      <c r="G28" s="1"/>
      <c r="H28" s="80"/>
      <c r="I28" s="81"/>
      <c r="J28" s="81"/>
      <c r="K28" s="81"/>
      <c r="L28" s="81"/>
      <c r="M28" s="81"/>
      <c r="N28" s="8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outlineLevel="1" x14ac:dyDescent="0.25">
      <c r="A29" s="94" t="s">
        <v>162</v>
      </c>
      <c r="B29" s="97"/>
      <c r="C29" s="102"/>
      <c r="D29" s="97"/>
      <c r="E29" s="117"/>
      <c r="F29" s="117"/>
      <c r="G29" s="117"/>
      <c r="H29" s="117"/>
      <c r="I29" s="139">
        <v>0.05</v>
      </c>
      <c r="J29" s="139">
        <v>4.4999999999999998E-2</v>
      </c>
      <c r="K29" s="139">
        <v>0.04</v>
      </c>
      <c r="L29" s="139">
        <v>3.5000000000000003E-2</v>
      </c>
      <c r="M29" s="139">
        <v>0.03</v>
      </c>
      <c r="N29" s="139">
        <v>0.03</v>
      </c>
      <c r="O29" s="139">
        <v>0.05</v>
      </c>
      <c r="P29" s="139">
        <v>0.05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outlineLevel="1" x14ac:dyDescent="0.25">
      <c r="A30" s="1" t="s">
        <v>163</v>
      </c>
      <c r="B30" s="1"/>
      <c r="C30" s="2"/>
      <c r="D30" s="22"/>
      <c r="E30" s="22"/>
      <c r="F30" s="22"/>
      <c r="G30" s="22"/>
      <c r="H30" s="22"/>
      <c r="I30" s="55">
        <v>0.37</v>
      </c>
      <c r="J30" s="55">
        <v>0.37</v>
      </c>
      <c r="K30" s="55">
        <v>0.36</v>
      </c>
      <c r="L30" s="55">
        <v>0.36</v>
      </c>
      <c r="M30" s="55">
        <v>0.35</v>
      </c>
      <c r="N30" s="55">
        <v>0.35</v>
      </c>
      <c r="O30" s="55">
        <v>0.37</v>
      </c>
      <c r="P30" s="55">
        <v>0.37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outlineLevel="1" x14ac:dyDescent="0.25">
      <c r="A31" s="1" t="s">
        <v>261</v>
      </c>
      <c r="B31" s="1"/>
      <c r="C31" s="2"/>
      <c r="D31" s="22"/>
      <c r="E31" s="22"/>
      <c r="F31" s="22"/>
      <c r="G31" s="22"/>
      <c r="H31" s="22"/>
      <c r="I31" s="55">
        <v>0.17</v>
      </c>
      <c r="J31" s="55">
        <v>0.17</v>
      </c>
      <c r="K31" s="55">
        <v>0.17</v>
      </c>
      <c r="L31" s="55">
        <v>0.17</v>
      </c>
      <c r="M31" s="55">
        <v>0.17</v>
      </c>
      <c r="N31" s="55">
        <v>0.17</v>
      </c>
      <c r="O31" s="55">
        <v>0.17</v>
      </c>
      <c r="P31" s="55">
        <v>0.17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outlineLevel="1" x14ac:dyDescent="0.25">
      <c r="A32" s="1" t="s">
        <v>262</v>
      </c>
      <c r="B32" s="1"/>
      <c r="C32" s="2"/>
      <c r="D32" s="1"/>
      <c r="E32" s="1"/>
      <c r="F32" s="1"/>
      <c r="G32" s="1"/>
      <c r="H32" s="1"/>
      <c r="I32" s="4">
        <v>10000</v>
      </c>
      <c r="J32" s="4">
        <v>10000</v>
      </c>
      <c r="K32" s="4">
        <v>10000</v>
      </c>
      <c r="L32" s="4">
        <v>10000</v>
      </c>
      <c r="M32" s="4">
        <v>10000</v>
      </c>
      <c r="N32" s="4">
        <v>10000</v>
      </c>
      <c r="O32" s="4">
        <v>10000</v>
      </c>
      <c r="P32" s="4">
        <v>10000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outlineLevel="1" x14ac:dyDescent="0.25">
      <c r="A33" s="1" t="s">
        <v>165</v>
      </c>
      <c r="B33" s="1"/>
      <c r="C33" s="2"/>
      <c r="D33" s="22"/>
      <c r="E33" s="22"/>
      <c r="F33" s="22"/>
      <c r="G33" s="22"/>
      <c r="H33" s="22"/>
      <c r="I33" s="55">
        <v>0.2</v>
      </c>
      <c r="J33" s="55">
        <v>0.2</v>
      </c>
      <c r="K33" s="55">
        <v>0.2</v>
      </c>
      <c r="L33" s="55">
        <v>0.2</v>
      </c>
      <c r="M33" s="55">
        <v>0.2</v>
      </c>
      <c r="N33" s="55">
        <v>0.2</v>
      </c>
      <c r="O33" s="55">
        <v>0.2</v>
      </c>
      <c r="P33" s="55">
        <v>0.2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outlineLevel="1" x14ac:dyDescent="0.25">
      <c r="A34" s="1" t="s">
        <v>263</v>
      </c>
      <c r="B34" s="1"/>
      <c r="C34" s="2"/>
      <c r="D34" s="22"/>
      <c r="E34" s="22"/>
      <c r="F34" s="22"/>
      <c r="G34" s="22"/>
      <c r="H34" s="22"/>
      <c r="I34" s="55">
        <v>0.05</v>
      </c>
      <c r="J34" s="55">
        <v>0.05</v>
      </c>
      <c r="K34" s="55">
        <v>0.05</v>
      </c>
      <c r="L34" s="55">
        <v>0.05</v>
      </c>
      <c r="M34" s="55">
        <v>0.05</v>
      </c>
      <c r="N34" s="55">
        <v>0.05</v>
      </c>
      <c r="O34" s="55">
        <v>0.05</v>
      </c>
      <c r="P34" s="55">
        <v>0.05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outlineLevel="1" x14ac:dyDescent="0.25">
      <c r="A35" s="1" t="s">
        <v>166</v>
      </c>
      <c r="B35" s="25"/>
      <c r="C35" s="26"/>
      <c r="D35" s="22"/>
      <c r="E35" s="22"/>
      <c r="F35" s="22"/>
      <c r="G35" s="22"/>
      <c r="H35" s="22"/>
      <c r="I35" s="55">
        <v>0.28000000000000003</v>
      </c>
      <c r="J35" s="55">
        <v>0.28000000000000003</v>
      </c>
      <c r="K35" s="55">
        <v>0.28000000000000003</v>
      </c>
      <c r="L35" s="55">
        <v>0.28000000000000003</v>
      </c>
      <c r="M35" s="55">
        <v>0.28000000000000003</v>
      </c>
      <c r="N35" s="55">
        <v>0.28000000000000003</v>
      </c>
      <c r="O35" s="55">
        <v>0.28000000000000003</v>
      </c>
      <c r="P35" s="55">
        <v>0.28000000000000003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outlineLevel="1" x14ac:dyDescent="0.25">
      <c r="A36" s="1" t="s">
        <v>167</v>
      </c>
      <c r="B36" s="1"/>
      <c r="C36" s="57"/>
      <c r="D36" s="1"/>
      <c r="E36" s="1"/>
      <c r="F36" s="1"/>
      <c r="G36" s="1"/>
      <c r="H36" s="1"/>
      <c r="I36" s="4">
        <v>18</v>
      </c>
      <c r="J36" s="4">
        <v>18</v>
      </c>
      <c r="K36" s="4">
        <v>18</v>
      </c>
      <c r="L36" s="4">
        <v>18</v>
      </c>
      <c r="M36" s="4">
        <v>18</v>
      </c>
      <c r="N36" s="4">
        <v>18</v>
      </c>
      <c r="O36" s="4">
        <v>18</v>
      </c>
      <c r="P36" s="4">
        <v>18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outlineLevel="1" x14ac:dyDescent="0.25">
      <c r="A37" s="1" t="s">
        <v>168</v>
      </c>
      <c r="B37" s="1"/>
      <c r="C37" s="57"/>
      <c r="D37" s="1"/>
      <c r="E37" s="1"/>
      <c r="F37" s="1"/>
      <c r="G37" s="1"/>
      <c r="H37" s="1"/>
      <c r="I37" s="4">
        <v>73</v>
      </c>
      <c r="J37" s="4">
        <v>73</v>
      </c>
      <c r="K37" s="4">
        <v>73</v>
      </c>
      <c r="L37" s="4">
        <v>73</v>
      </c>
      <c r="M37" s="4">
        <v>73</v>
      </c>
      <c r="N37" s="4">
        <v>73</v>
      </c>
      <c r="O37" s="4">
        <v>73</v>
      </c>
      <c r="P37" s="4">
        <v>73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outlineLevel="1" x14ac:dyDescent="0.25">
      <c r="A38" s="1" t="s">
        <v>169</v>
      </c>
      <c r="B38" s="1"/>
      <c r="C38" s="57"/>
      <c r="D38" s="1"/>
      <c r="E38" s="1"/>
      <c r="F38" s="1"/>
      <c r="G38" s="1"/>
      <c r="H38" s="1"/>
      <c r="I38" s="4">
        <v>37</v>
      </c>
      <c r="J38" s="4">
        <v>37</v>
      </c>
      <c r="K38" s="4">
        <v>37</v>
      </c>
      <c r="L38" s="4">
        <v>37</v>
      </c>
      <c r="M38" s="4">
        <v>37</v>
      </c>
      <c r="N38" s="4">
        <v>37</v>
      </c>
      <c r="O38" s="4">
        <v>37</v>
      </c>
      <c r="P38" s="4">
        <v>37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outlineLevel="1" x14ac:dyDescent="0.25">
      <c r="A39" s="1" t="s">
        <v>264</v>
      </c>
      <c r="B39" s="1"/>
      <c r="C39" s="2"/>
      <c r="D39" s="1"/>
      <c r="E39" s="1"/>
      <c r="F39" s="1"/>
      <c r="G39" s="1"/>
      <c r="H39" s="1"/>
      <c r="I39" s="4">
        <v>15000</v>
      </c>
      <c r="J39" s="4">
        <v>15000</v>
      </c>
      <c r="K39" s="4">
        <v>15000</v>
      </c>
      <c r="L39" s="4">
        <v>15000</v>
      </c>
      <c r="M39" s="4">
        <v>15000</v>
      </c>
      <c r="N39" s="4">
        <v>15000</v>
      </c>
      <c r="O39" s="4">
        <v>15000</v>
      </c>
      <c r="P39" s="4">
        <v>15000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outlineLevel="1" x14ac:dyDescent="0.25">
      <c r="A40" s="1" t="s">
        <v>265</v>
      </c>
      <c r="B40" s="1"/>
      <c r="C40" s="2"/>
      <c r="D40" s="1"/>
      <c r="E40" s="1"/>
      <c r="F40" s="1"/>
      <c r="G40" s="1"/>
      <c r="H40" s="1"/>
      <c r="I40" s="4">
        <v>0</v>
      </c>
      <c r="J40" s="4">
        <v>0</v>
      </c>
      <c r="K40" s="4">
        <v>-20000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outlineLevel="1" x14ac:dyDescent="0.25">
      <c r="A41" s="1" t="s">
        <v>170</v>
      </c>
      <c r="B41" s="1"/>
      <c r="C41" s="2"/>
      <c r="D41" s="1"/>
      <c r="E41" s="1"/>
      <c r="F41" s="1"/>
      <c r="G41" s="1"/>
      <c r="H41" s="1"/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outlineLevel="1" x14ac:dyDescent="0.25">
      <c r="A42" s="1" t="s">
        <v>198</v>
      </c>
      <c r="B42" s="1"/>
      <c r="C42" s="2"/>
      <c r="D42" s="1"/>
      <c r="E42" s="1"/>
      <c r="F42" s="1"/>
      <c r="G42" s="1"/>
      <c r="H42" s="1"/>
      <c r="I42" s="4">
        <v>0</v>
      </c>
      <c r="J42" s="4">
        <v>0</v>
      </c>
      <c r="K42" s="4">
        <v>0</v>
      </c>
      <c r="L42" s="4">
        <v>0</v>
      </c>
      <c r="M42" s="4">
        <v>100</v>
      </c>
      <c r="N42" s="4">
        <v>100</v>
      </c>
      <c r="O42" s="4">
        <v>0</v>
      </c>
      <c r="P42" s="4">
        <v>0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outlineLevel="1" x14ac:dyDescent="0.25">
      <c r="A43" s="1"/>
      <c r="B43" s="1"/>
      <c r="C43" s="2"/>
      <c r="D43" s="1"/>
      <c r="E43" s="1"/>
      <c r="F43" s="1"/>
      <c r="G43" s="1"/>
      <c r="H43" s="1"/>
      <c r="I43" s="8"/>
      <c r="J43" s="8"/>
      <c r="K43" s="8"/>
      <c r="L43" s="8"/>
      <c r="M43" s="8"/>
      <c r="N43" s="8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outlineLevel="1" x14ac:dyDescent="0.25">
      <c r="A44" s="14" t="s">
        <v>259</v>
      </c>
      <c r="B44" s="1"/>
      <c r="C44" s="2"/>
      <c r="D44" s="1"/>
      <c r="E44" s="1"/>
      <c r="F44" s="1"/>
      <c r="G44" s="1"/>
      <c r="H44" s="1"/>
      <c r="I44" s="8"/>
      <c r="J44" s="8"/>
      <c r="K44" s="8"/>
      <c r="L44" s="8"/>
      <c r="M44" s="8"/>
      <c r="N44" s="8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outlineLevel="1" x14ac:dyDescent="0.25">
      <c r="A45" s="94" t="s">
        <v>162</v>
      </c>
      <c r="B45" s="97"/>
      <c r="C45" s="102"/>
      <c r="D45" s="140"/>
      <c r="E45" s="140"/>
      <c r="F45" s="140"/>
      <c r="G45" s="140"/>
      <c r="H45" s="140"/>
      <c r="I45" s="117">
        <f t="shared" ref="I45:P45" si="6">CHOOSE($I$10,I13,I29)</f>
        <v>0.1</v>
      </c>
      <c r="J45" s="117">
        <f t="shared" si="6"/>
        <v>0.1</v>
      </c>
      <c r="K45" s="117">
        <f t="shared" si="6"/>
        <v>0.1</v>
      </c>
      <c r="L45" s="117">
        <f t="shared" si="6"/>
        <v>0.09</v>
      </c>
      <c r="M45" s="117">
        <f t="shared" si="6"/>
        <v>0.08</v>
      </c>
      <c r="N45" s="117">
        <f t="shared" si="6"/>
        <v>7.0000000000000007E-2</v>
      </c>
      <c r="O45" s="117">
        <f t="shared" si="6"/>
        <v>0.1</v>
      </c>
      <c r="P45" s="117">
        <f t="shared" si="6"/>
        <v>0.1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outlineLevel="1" x14ac:dyDescent="0.25">
      <c r="A46" s="1" t="s">
        <v>163</v>
      </c>
      <c r="B46" s="1"/>
      <c r="C46" s="2"/>
      <c r="D46" s="141"/>
      <c r="E46" s="141"/>
      <c r="F46" s="141"/>
      <c r="G46" s="141"/>
      <c r="H46" s="141"/>
      <c r="I46" s="22">
        <f t="shared" ref="I46:P46" si="7">CHOOSE($I$10,I14,I30)</f>
        <v>0.42</v>
      </c>
      <c r="J46" s="22">
        <f t="shared" si="7"/>
        <v>0.43</v>
      </c>
      <c r="K46" s="22">
        <f t="shared" si="7"/>
        <v>0.44</v>
      </c>
      <c r="L46" s="22">
        <f t="shared" si="7"/>
        <v>0.45</v>
      </c>
      <c r="M46" s="22">
        <f t="shared" si="7"/>
        <v>0.46</v>
      </c>
      <c r="N46" s="22">
        <f t="shared" si="7"/>
        <v>0.46</v>
      </c>
      <c r="O46" s="22">
        <f t="shared" si="7"/>
        <v>0.42</v>
      </c>
      <c r="P46" s="22">
        <f t="shared" si="7"/>
        <v>0.42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outlineLevel="1" x14ac:dyDescent="0.25">
      <c r="A47" s="1" t="s">
        <v>164</v>
      </c>
      <c r="B47" s="1"/>
      <c r="C47" s="2"/>
      <c r="D47" s="22"/>
      <c r="E47" s="22"/>
      <c r="F47" s="22"/>
      <c r="G47" s="22"/>
      <c r="H47" s="22"/>
      <c r="I47" s="22">
        <f t="shared" ref="I47:P47" si="8">CHOOSE($I$10,I15,I31)</f>
        <v>0.17</v>
      </c>
      <c r="J47" s="22">
        <f t="shared" si="8"/>
        <v>0.17</v>
      </c>
      <c r="K47" s="22">
        <f t="shared" si="8"/>
        <v>0.17</v>
      </c>
      <c r="L47" s="22">
        <f t="shared" si="8"/>
        <v>0.17</v>
      </c>
      <c r="M47" s="22">
        <f t="shared" si="8"/>
        <v>0.17</v>
      </c>
      <c r="N47" s="22">
        <f t="shared" si="8"/>
        <v>0.17</v>
      </c>
      <c r="O47" s="22">
        <f t="shared" si="8"/>
        <v>0.17</v>
      </c>
      <c r="P47" s="22">
        <f t="shared" si="8"/>
        <v>0.17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outlineLevel="1" x14ac:dyDescent="0.25">
      <c r="A48" s="1" t="s">
        <v>267</v>
      </c>
      <c r="B48" s="1"/>
      <c r="C48" s="2"/>
      <c r="D48" s="1"/>
      <c r="E48" s="1"/>
      <c r="F48" s="1"/>
      <c r="G48" s="1"/>
      <c r="H48" s="1"/>
      <c r="I48" s="1">
        <f t="shared" ref="I48:P48" si="9">CHOOSE($I$10,I16,I32)</f>
        <v>15000</v>
      </c>
      <c r="J48" s="1">
        <f t="shared" si="9"/>
        <v>15000</v>
      </c>
      <c r="K48" s="1">
        <f t="shared" si="9"/>
        <v>15000</v>
      </c>
      <c r="L48" s="1">
        <f t="shared" si="9"/>
        <v>15000</v>
      </c>
      <c r="M48" s="1">
        <f t="shared" si="9"/>
        <v>15000</v>
      </c>
      <c r="N48" s="1">
        <f t="shared" si="9"/>
        <v>15000</v>
      </c>
      <c r="O48" s="1">
        <f t="shared" si="9"/>
        <v>15000</v>
      </c>
      <c r="P48" s="1">
        <f t="shared" si="9"/>
        <v>15000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outlineLevel="1" x14ac:dyDescent="0.25">
      <c r="A49" s="1" t="s">
        <v>165</v>
      </c>
      <c r="B49" s="1"/>
      <c r="C49" s="2"/>
      <c r="D49" s="18"/>
      <c r="E49" s="18"/>
      <c r="F49" s="18"/>
      <c r="G49" s="18"/>
      <c r="H49" s="18"/>
      <c r="I49" s="22">
        <f t="shared" ref="I49:P49" si="10">CHOOSE($I$10,I17,I33)</f>
        <v>0.2</v>
      </c>
      <c r="J49" s="22">
        <f t="shared" si="10"/>
        <v>0.2</v>
      </c>
      <c r="K49" s="22">
        <f t="shared" si="10"/>
        <v>0.2</v>
      </c>
      <c r="L49" s="22">
        <f t="shared" si="10"/>
        <v>0.2</v>
      </c>
      <c r="M49" s="22">
        <f t="shared" si="10"/>
        <v>0.2</v>
      </c>
      <c r="N49" s="22">
        <f t="shared" si="10"/>
        <v>0.2</v>
      </c>
      <c r="O49" s="22">
        <f t="shared" si="10"/>
        <v>0.2</v>
      </c>
      <c r="P49" s="22">
        <f t="shared" si="10"/>
        <v>0.2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outlineLevel="1" x14ac:dyDescent="0.25">
      <c r="A50" s="1" t="s">
        <v>263</v>
      </c>
      <c r="B50" s="1"/>
      <c r="C50" s="2"/>
      <c r="D50" s="22"/>
      <c r="E50" s="22"/>
      <c r="F50" s="22"/>
      <c r="G50" s="22"/>
      <c r="H50" s="22"/>
      <c r="I50" s="22">
        <f t="shared" ref="I50:P50" si="11">CHOOSE($I$10,I18,I34)</f>
        <v>0.1</v>
      </c>
      <c r="J50" s="22">
        <f t="shared" si="11"/>
        <v>0.1</v>
      </c>
      <c r="K50" s="22">
        <f t="shared" si="11"/>
        <v>0.1</v>
      </c>
      <c r="L50" s="22">
        <f t="shared" si="11"/>
        <v>0.1</v>
      </c>
      <c r="M50" s="22">
        <f t="shared" si="11"/>
        <v>0.1</v>
      </c>
      <c r="N50" s="22">
        <f t="shared" si="11"/>
        <v>0.1</v>
      </c>
      <c r="O50" s="22">
        <f t="shared" si="11"/>
        <v>0.1</v>
      </c>
      <c r="P50" s="22">
        <f t="shared" si="11"/>
        <v>0.1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outlineLevel="1" x14ac:dyDescent="0.25">
      <c r="A51" s="1" t="s">
        <v>166</v>
      </c>
      <c r="B51" s="25"/>
      <c r="C51" s="26"/>
      <c r="D51" s="22"/>
      <c r="E51" s="22"/>
      <c r="F51" s="22"/>
      <c r="G51" s="22"/>
      <c r="H51" s="22"/>
      <c r="I51" s="22">
        <f t="shared" ref="I51:P51" si="12">CHOOSE($I$10,I19,I35)</f>
        <v>0.28000000000000003</v>
      </c>
      <c r="J51" s="22">
        <f t="shared" si="12"/>
        <v>0.28000000000000003</v>
      </c>
      <c r="K51" s="22">
        <f t="shared" si="12"/>
        <v>0.28000000000000003</v>
      </c>
      <c r="L51" s="22">
        <f t="shared" si="12"/>
        <v>0.28000000000000003</v>
      </c>
      <c r="M51" s="22">
        <f t="shared" si="12"/>
        <v>0.28000000000000003</v>
      </c>
      <c r="N51" s="22">
        <f t="shared" si="12"/>
        <v>0.28000000000000003</v>
      </c>
      <c r="O51" s="22">
        <f t="shared" si="12"/>
        <v>0.28000000000000003</v>
      </c>
      <c r="P51" s="22">
        <f t="shared" si="12"/>
        <v>0.28000000000000003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outlineLevel="1" x14ac:dyDescent="0.25">
      <c r="A52" s="1" t="s">
        <v>167</v>
      </c>
      <c r="B52" s="1"/>
      <c r="C52" s="57"/>
      <c r="D52" s="1"/>
      <c r="E52" s="1"/>
      <c r="F52" s="1"/>
      <c r="G52" s="1"/>
      <c r="H52" s="1"/>
      <c r="I52" s="1">
        <f t="shared" ref="I52:P52" si="13">CHOOSE($I$10,I20,I36)</f>
        <v>18</v>
      </c>
      <c r="J52" s="1">
        <f t="shared" si="13"/>
        <v>18</v>
      </c>
      <c r="K52" s="1">
        <f t="shared" si="13"/>
        <v>18</v>
      </c>
      <c r="L52" s="1">
        <f t="shared" si="13"/>
        <v>18</v>
      </c>
      <c r="M52" s="1">
        <f t="shared" si="13"/>
        <v>18</v>
      </c>
      <c r="N52" s="1">
        <f t="shared" si="13"/>
        <v>18</v>
      </c>
      <c r="O52" s="1">
        <f t="shared" si="13"/>
        <v>18</v>
      </c>
      <c r="P52" s="1">
        <f t="shared" si="13"/>
        <v>18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outlineLevel="1" x14ac:dyDescent="0.25">
      <c r="A53" s="1" t="s">
        <v>168</v>
      </c>
      <c r="B53" s="1"/>
      <c r="C53" s="57"/>
      <c r="D53" s="1"/>
      <c r="E53" s="1"/>
      <c r="F53" s="1"/>
      <c r="G53" s="1"/>
      <c r="H53" s="1"/>
      <c r="I53" s="1">
        <f t="shared" ref="I53:P53" si="14">CHOOSE($I$10,I21,I37)</f>
        <v>80</v>
      </c>
      <c r="J53" s="1">
        <f t="shared" si="14"/>
        <v>90</v>
      </c>
      <c r="K53" s="1">
        <f t="shared" si="14"/>
        <v>100</v>
      </c>
      <c r="L53" s="1">
        <f t="shared" si="14"/>
        <v>100</v>
      </c>
      <c r="M53" s="1">
        <f t="shared" si="14"/>
        <v>100</v>
      </c>
      <c r="N53" s="1">
        <f t="shared" si="14"/>
        <v>100</v>
      </c>
      <c r="O53" s="1">
        <f t="shared" si="14"/>
        <v>80</v>
      </c>
      <c r="P53" s="1">
        <f t="shared" si="14"/>
        <v>80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outlineLevel="1" x14ac:dyDescent="0.25">
      <c r="A54" s="1" t="s">
        <v>169</v>
      </c>
      <c r="B54" s="1"/>
      <c r="C54" s="57"/>
      <c r="D54" s="1"/>
      <c r="E54" s="1"/>
      <c r="F54" s="1"/>
      <c r="G54" s="1"/>
      <c r="H54" s="1"/>
      <c r="I54" s="1">
        <f t="shared" ref="I54:P54" si="15">CHOOSE($I$10,I22,I38)</f>
        <v>37</v>
      </c>
      <c r="J54" s="1">
        <f t="shared" si="15"/>
        <v>37</v>
      </c>
      <c r="K54" s="1">
        <f t="shared" si="15"/>
        <v>37</v>
      </c>
      <c r="L54" s="1">
        <f t="shared" si="15"/>
        <v>37</v>
      </c>
      <c r="M54" s="1">
        <f t="shared" si="15"/>
        <v>37</v>
      </c>
      <c r="N54" s="1">
        <f t="shared" si="15"/>
        <v>37</v>
      </c>
      <c r="O54" s="1">
        <f t="shared" si="15"/>
        <v>37</v>
      </c>
      <c r="P54" s="1">
        <f t="shared" si="15"/>
        <v>37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outlineLevel="1" x14ac:dyDescent="0.25">
      <c r="A55" s="1" t="s">
        <v>264</v>
      </c>
      <c r="B55" s="1"/>
      <c r="C55" s="2"/>
      <c r="D55" s="8"/>
      <c r="E55" s="8"/>
      <c r="F55" s="8"/>
      <c r="G55" s="8"/>
      <c r="H55" s="8"/>
      <c r="I55" s="1">
        <f t="shared" ref="I55:P55" si="16">CHOOSE($I$10,I23,I39)</f>
        <v>15000</v>
      </c>
      <c r="J55" s="1">
        <f t="shared" si="16"/>
        <v>15000</v>
      </c>
      <c r="K55" s="1">
        <f t="shared" si="16"/>
        <v>15000</v>
      </c>
      <c r="L55" s="1">
        <f t="shared" si="16"/>
        <v>15000</v>
      </c>
      <c r="M55" s="1">
        <f t="shared" si="16"/>
        <v>15000</v>
      </c>
      <c r="N55" s="1">
        <f t="shared" si="16"/>
        <v>15000</v>
      </c>
      <c r="O55" s="1">
        <f t="shared" si="16"/>
        <v>15000</v>
      </c>
      <c r="P55" s="1">
        <f t="shared" si="16"/>
        <v>15000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outlineLevel="1" x14ac:dyDescent="0.25">
      <c r="A56" s="1" t="s">
        <v>265</v>
      </c>
      <c r="B56" s="1"/>
      <c r="C56" s="2"/>
      <c r="D56" s="1"/>
      <c r="E56" s="1"/>
      <c r="F56" s="1"/>
      <c r="G56" s="1"/>
      <c r="H56" s="1"/>
      <c r="I56" s="1">
        <f t="shared" ref="I56:P56" si="17">CHOOSE($I$10,I24,I40)</f>
        <v>0</v>
      </c>
      <c r="J56" s="1">
        <f t="shared" si="17"/>
        <v>0</v>
      </c>
      <c r="K56" s="1">
        <f t="shared" si="17"/>
        <v>-20000</v>
      </c>
      <c r="L56" s="1">
        <f t="shared" si="17"/>
        <v>0</v>
      </c>
      <c r="M56" s="1">
        <f t="shared" si="17"/>
        <v>0</v>
      </c>
      <c r="N56" s="1">
        <f t="shared" si="17"/>
        <v>0</v>
      </c>
      <c r="O56" s="1">
        <f t="shared" si="17"/>
        <v>0</v>
      </c>
      <c r="P56" s="1">
        <f t="shared" si="17"/>
        <v>0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outlineLevel="1" x14ac:dyDescent="0.25">
      <c r="A57" s="1" t="s">
        <v>170</v>
      </c>
      <c r="B57" s="1"/>
      <c r="C57" s="2"/>
      <c r="D57" s="1"/>
      <c r="E57" s="1"/>
      <c r="F57" s="1"/>
      <c r="G57" s="1"/>
      <c r="H57" s="1"/>
      <c r="I57" s="1">
        <f t="shared" ref="I57:P57" si="18">CHOOSE($I$10,I25,I41)</f>
        <v>0</v>
      </c>
      <c r="J57" s="1">
        <f t="shared" si="18"/>
        <v>0</v>
      </c>
      <c r="K57" s="1">
        <f t="shared" si="18"/>
        <v>0</v>
      </c>
      <c r="L57" s="1">
        <f t="shared" si="18"/>
        <v>0</v>
      </c>
      <c r="M57" s="1">
        <f t="shared" si="18"/>
        <v>0</v>
      </c>
      <c r="N57" s="1">
        <f t="shared" si="18"/>
        <v>0</v>
      </c>
      <c r="O57" s="1">
        <f t="shared" si="18"/>
        <v>0</v>
      </c>
      <c r="P57" s="1">
        <f t="shared" si="18"/>
        <v>0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outlineLevel="1" x14ac:dyDescent="0.25">
      <c r="A58" s="1" t="s">
        <v>198</v>
      </c>
      <c r="B58" s="1"/>
      <c r="C58" s="2"/>
      <c r="D58" s="1"/>
      <c r="E58" s="1"/>
      <c r="F58" s="1"/>
      <c r="G58" s="1"/>
      <c r="H58" s="1"/>
      <c r="I58" s="1">
        <f t="shared" ref="I58:P58" si="19">CHOOSE($I$10,I26,I42)</f>
        <v>0</v>
      </c>
      <c r="J58" s="1">
        <f t="shared" si="19"/>
        <v>0</v>
      </c>
      <c r="K58" s="1">
        <f t="shared" si="19"/>
        <v>0</v>
      </c>
      <c r="L58" s="1">
        <f t="shared" si="19"/>
        <v>0</v>
      </c>
      <c r="M58" s="1">
        <f t="shared" si="19"/>
        <v>200</v>
      </c>
      <c r="N58" s="1">
        <f t="shared" si="19"/>
        <v>200</v>
      </c>
      <c r="O58" s="1">
        <f t="shared" si="19"/>
        <v>0</v>
      </c>
      <c r="P58" s="1">
        <f t="shared" si="19"/>
        <v>0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outlineLevel="1" x14ac:dyDescent="0.25">
      <c r="A59" s="1"/>
      <c r="B59" s="1"/>
      <c r="C59" s="2"/>
      <c r="D59" s="1"/>
      <c r="E59" s="1"/>
      <c r="F59" s="1"/>
      <c r="G59" s="1"/>
      <c r="H59" s="1"/>
      <c r="I59" s="8"/>
      <c r="J59" s="8"/>
      <c r="K59" s="8"/>
      <c r="L59" s="8"/>
      <c r="M59" s="8"/>
      <c r="N59" s="8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x14ac:dyDescent="0.25">
      <c r="A60" s="1"/>
      <c r="B60" s="1"/>
      <c r="C60" s="2"/>
      <c r="D60" s="1"/>
      <c r="E60" s="1"/>
      <c r="F60" s="1"/>
      <c r="G60" s="1"/>
      <c r="H60" s="1"/>
      <c r="I60" s="8"/>
      <c r="J60" s="8"/>
      <c r="K60" s="8"/>
      <c r="L60" s="8"/>
      <c r="M60" s="8"/>
      <c r="N60" s="8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x14ac:dyDescent="0.35">
      <c r="A61" s="88" t="s">
        <v>172</v>
      </c>
      <c r="B61" s="89"/>
      <c r="C61" s="90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outlineLevel="1" x14ac:dyDescent="0.25">
      <c r="A62" s="14"/>
      <c r="B62" s="14"/>
      <c r="C62" s="58"/>
      <c r="D62" s="51"/>
      <c r="E62" s="51"/>
      <c r="F62" s="51"/>
      <c r="G62" s="51"/>
      <c r="H62" s="51"/>
      <c r="I62" s="14"/>
      <c r="J62" s="14"/>
      <c r="K62" s="14"/>
      <c r="L62" s="14"/>
      <c r="M62" s="14"/>
      <c r="N62" s="14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outlineLevel="1" x14ac:dyDescent="0.25">
      <c r="A63" s="14" t="s">
        <v>173</v>
      </c>
      <c r="B63" s="14"/>
      <c r="C63" s="58"/>
      <c r="D63" s="140">
        <v>102007</v>
      </c>
      <c r="E63" s="140">
        <v>118086</v>
      </c>
      <c r="F63" s="140">
        <v>131345</v>
      </c>
      <c r="G63" s="140">
        <v>142341</v>
      </c>
      <c r="H63" s="140">
        <v>150772</v>
      </c>
      <c r="I63" s="14">
        <f>H63*1.1</f>
        <v>165849.20000000001</v>
      </c>
      <c r="J63" s="14">
        <f>I63*1.1</f>
        <v>182434.12000000002</v>
      </c>
      <c r="K63" s="14">
        <f>J63*1.1</f>
        <v>200677.53200000004</v>
      </c>
      <c r="L63" s="14">
        <f>K63*1.09</f>
        <v>218738.50988000006</v>
      </c>
      <c r="M63" s="14">
        <f>L63*1.08</f>
        <v>236237.59067040007</v>
      </c>
      <c r="N63" s="14">
        <f>M63*1.07</f>
        <v>252774.22201732808</v>
      </c>
      <c r="O63" s="82">
        <f>N63*1.1</f>
        <v>278051.64421906089</v>
      </c>
      <c r="P63" s="82">
        <f>O63*1.1</f>
        <v>305856.80864096701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outlineLevel="1" x14ac:dyDescent="0.25">
      <c r="A64" s="1" t="s">
        <v>174</v>
      </c>
      <c r="B64" s="1"/>
      <c r="C64" s="2"/>
      <c r="D64" s="141">
        <v>39023</v>
      </c>
      <c r="E64" s="141">
        <v>48004</v>
      </c>
      <c r="F64" s="141">
        <v>49123</v>
      </c>
      <c r="G64" s="141">
        <v>52654</v>
      </c>
      <c r="H64" s="141">
        <v>56710</v>
      </c>
      <c r="I64" s="60">
        <f>I63*I46</f>
        <v>69656.664000000004</v>
      </c>
      <c r="J64" s="60">
        <f t="shared" ref="J64:N64" si="20">J63*(J46)</f>
        <v>78446.671600000016</v>
      </c>
      <c r="K64" s="60">
        <f t="shared" si="20"/>
        <v>88298.114080000014</v>
      </c>
      <c r="L64" s="60">
        <f t="shared" si="20"/>
        <v>98432.329446000032</v>
      </c>
      <c r="M64" s="60">
        <f t="shared" si="20"/>
        <v>108669.29170838403</v>
      </c>
      <c r="N64" s="60">
        <f t="shared" si="20"/>
        <v>116276.14212797092</v>
      </c>
      <c r="O64" s="63">
        <f>O63*O46</f>
        <v>116781.69057200557</v>
      </c>
      <c r="P64" s="63">
        <f>P63*P46</f>
        <v>128459.85962920614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outlineLevel="1" x14ac:dyDescent="0.25">
      <c r="A65" s="97" t="s">
        <v>175</v>
      </c>
      <c r="B65" s="97"/>
      <c r="C65" s="102"/>
      <c r="D65" s="97">
        <f t="shared" ref="D65:P65" si="21">D63-D64</f>
        <v>62984</v>
      </c>
      <c r="E65" s="97">
        <f t="shared" si="21"/>
        <v>70082</v>
      </c>
      <c r="F65" s="97">
        <f t="shared" si="21"/>
        <v>82222</v>
      </c>
      <c r="G65" s="97">
        <f t="shared" si="21"/>
        <v>89687</v>
      </c>
      <c r="H65" s="97">
        <f t="shared" si="21"/>
        <v>94062</v>
      </c>
      <c r="I65" s="97">
        <f t="shared" si="21"/>
        <v>96192.536000000007</v>
      </c>
      <c r="J65" s="97">
        <f t="shared" si="21"/>
        <v>103987.44840000001</v>
      </c>
      <c r="K65" s="97">
        <f t="shared" si="21"/>
        <v>112379.41792000002</v>
      </c>
      <c r="L65" s="97">
        <f t="shared" si="21"/>
        <v>120306.18043400002</v>
      </c>
      <c r="M65" s="97">
        <f t="shared" si="21"/>
        <v>127568.29896201604</v>
      </c>
      <c r="N65" s="97">
        <f t="shared" si="21"/>
        <v>136498.07988935715</v>
      </c>
      <c r="O65" s="97">
        <f t="shared" si="21"/>
        <v>161269.95364705531</v>
      </c>
      <c r="P65" s="97">
        <f t="shared" si="21"/>
        <v>177396.94901176088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outlineLevel="1" x14ac:dyDescent="0.25">
      <c r="A66" s="14" t="s">
        <v>176</v>
      </c>
      <c r="B66" s="14"/>
      <c r="C66" s="58"/>
      <c r="D66" s="59"/>
      <c r="E66" s="59"/>
      <c r="F66" s="59"/>
      <c r="G66" s="59"/>
      <c r="H66" s="59"/>
      <c r="I66" s="59"/>
      <c r="J66" s="59"/>
      <c r="K66" s="59"/>
      <c r="L66" s="14"/>
      <c r="M66" s="14"/>
      <c r="N66" s="14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outlineLevel="1" x14ac:dyDescent="0.25">
      <c r="A67" s="1" t="s">
        <v>177</v>
      </c>
      <c r="B67" s="1"/>
      <c r="C67" s="2"/>
      <c r="D67" s="149">
        <v>26427</v>
      </c>
      <c r="E67" s="149">
        <v>22658</v>
      </c>
      <c r="F67" s="149">
        <v>23872</v>
      </c>
      <c r="G67" s="149">
        <v>23002</v>
      </c>
      <c r="H67" s="149">
        <v>25245</v>
      </c>
      <c r="I67" s="1">
        <f t="shared" ref="I67:N67" si="22">I63*I47</f>
        <v>28194.364000000005</v>
      </c>
      <c r="J67" s="1">
        <f t="shared" si="22"/>
        <v>31013.800400000007</v>
      </c>
      <c r="K67" s="1">
        <f t="shared" si="22"/>
        <v>34115.180440000011</v>
      </c>
      <c r="L67" s="1">
        <f t="shared" si="22"/>
        <v>37185.546679600011</v>
      </c>
      <c r="M67" s="1">
        <f t="shared" si="22"/>
        <v>40160.390413968016</v>
      </c>
      <c r="N67" s="1">
        <f t="shared" si="22"/>
        <v>42971.617742945775</v>
      </c>
      <c r="O67" s="1">
        <f>O63*O47</f>
        <v>47268.779517240357</v>
      </c>
      <c r="P67" s="1">
        <f>P63*P47</f>
        <v>51995.657468964397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outlineLevel="1" x14ac:dyDescent="0.25">
      <c r="A68" s="1" t="s">
        <v>178</v>
      </c>
      <c r="B68" s="1"/>
      <c r="C68" s="2"/>
      <c r="D68" s="149">
        <v>10963</v>
      </c>
      <c r="E68" s="149">
        <v>10125</v>
      </c>
      <c r="F68" s="149">
        <v>10087</v>
      </c>
      <c r="G68" s="149">
        <v>11020</v>
      </c>
      <c r="H68" s="149">
        <v>11412</v>
      </c>
      <c r="I68" s="1">
        <f t="shared" ref="I68:N68" si="23">I48</f>
        <v>15000</v>
      </c>
      <c r="J68" s="1">
        <f t="shared" si="23"/>
        <v>15000</v>
      </c>
      <c r="K68" s="1">
        <f t="shared" si="23"/>
        <v>15000</v>
      </c>
      <c r="L68" s="1">
        <f t="shared" si="23"/>
        <v>15000</v>
      </c>
      <c r="M68" s="1">
        <f t="shared" si="23"/>
        <v>15000</v>
      </c>
      <c r="N68" s="1">
        <f t="shared" si="23"/>
        <v>15000</v>
      </c>
      <c r="O68" s="1">
        <f>O48</f>
        <v>15000</v>
      </c>
      <c r="P68" s="1">
        <f>P48</f>
        <v>15000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outlineLevel="1" x14ac:dyDescent="0.25">
      <c r="A69" s="1" t="s">
        <v>179</v>
      </c>
      <c r="B69" s="1"/>
      <c r="C69" s="2"/>
      <c r="D69" s="149">
        <v>19500</v>
      </c>
      <c r="E69" s="149">
        <v>18150</v>
      </c>
      <c r="F69" s="149">
        <v>17205</v>
      </c>
      <c r="G69" s="149">
        <v>16543.5</v>
      </c>
      <c r="H69" s="149">
        <v>16080.449999999999</v>
      </c>
      <c r="I69" s="1">
        <v>7504.2100000000009</v>
      </c>
      <c r="J69" s="1">
        <v>9003.3680000000004</v>
      </c>
      <c r="K69" s="1">
        <v>10202.6944</v>
      </c>
      <c r="L69" s="1">
        <v>11162.155520000002</v>
      </c>
      <c r="M69" s="1">
        <v>11929.724416000001</v>
      </c>
      <c r="N69" s="1">
        <v>12543.779532800001</v>
      </c>
      <c r="O69" s="1">
        <v>13035</v>
      </c>
      <c r="P69" s="1">
        <v>13428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outlineLevel="1" x14ac:dyDescent="0.25">
      <c r="A70" s="9" t="s">
        <v>180</v>
      </c>
      <c r="B70" s="9"/>
      <c r="C70" s="10"/>
      <c r="D70" s="149">
        <v>2500</v>
      </c>
      <c r="E70" s="149">
        <v>2500</v>
      </c>
      <c r="F70" s="149">
        <v>1500</v>
      </c>
      <c r="G70" s="149">
        <v>1500</v>
      </c>
      <c r="H70" s="149">
        <v>1500</v>
      </c>
      <c r="I70" s="9">
        <f t="shared" ref="I70:N70" si="24">I148</f>
        <v>3000</v>
      </c>
      <c r="J70" s="9">
        <f t="shared" si="24"/>
        <v>3000</v>
      </c>
      <c r="K70" s="9">
        <f t="shared" si="24"/>
        <v>1000</v>
      </c>
      <c r="L70" s="9">
        <f t="shared" si="24"/>
        <v>1000</v>
      </c>
      <c r="M70" s="9">
        <f t="shared" si="24"/>
        <v>1000</v>
      </c>
      <c r="N70" s="9">
        <f t="shared" si="24"/>
        <v>1000</v>
      </c>
      <c r="O70" s="9">
        <f>O148</f>
        <v>1000</v>
      </c>
      <c r="P70" s="9">
        <f>P148</f>
        <v>1000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outlineLevel="1" x14ac:dyDescent="0.25">
      <c r="A71" s="14" t="s">
        <v>181</v>
      </c>
      <c r="B71" s="1"/>
      <c r="C71" s="2"/>
      <c r="D71" s="174">
        <f t="shared" ref="D71:P71" si="25">SUM(D67:D70)</f>
        <v>59390</v>
      </c>
      <c r="E71" s="174">
        <f t="shared" si="25"/>
        <v>53433</v>
      </c>
      <c r="F71" s="174">
        <f t="shared" si="25"/>
        <v>52664</v>
      </c>
      <c r="G71" s="174">
        <f t="shared" si="25"/>
        <v>52065.5</v>
      </c>
      <c r="H71" s="174">
        <f t="shared" si="25"/>
        <v>54237.45</v>
      </c>
      <c r="I71" s="14">
        <f t="shared" si="25"/>
        <v>53698.574000000001</v>
      </c>
      <c r="J71" s="14">
        <f t="shared" si="25"/>
        <v>58017.16840000001</v>
      </c>
      <c r="K71" s="14">
        <f t="shared" si="25"/>
        <v>60317.874840000011</v>
      </c>
      <c r="L71" s="14">
        <f t="shared" si="25"/>
        <v>64347.702199600011</v>
      </c>
      <c r="M71" s="14">
        <f t="shared" si="25"/>
        <v>68090.114829968021</v>
      </c>
      <c r="N71" s="14">
        <f t="shared" si="25"/>
        <v>71515.397275745781</v>
      </c>
      <c r="O71" s="14">
        <f t="shared" si="25"/>
        <v>76303.779517240357</v>
      </c>
      <c r="P71" s="14">
        <f t="shared" si="25"/>
        <v>81423.657468964404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outlineLevel="1" x14ac:dyDescent="0.25">
      <c r="A72" s="97" t="s">
        <v>182</v>
      </c>
      <c r="B72" s="97"/>
      <c r="C72" s="102"/>
      <c r="D72" s="97">
        <f t="shared" ref="D72:P72" si="26">D65-D71</f>
        <v>3594</v>
      </c>
      <c r="E72" s="97">
        <f t="shared" si="26"/>
        <v>16649</v>
      </c>
      <c r="F72" s="97">
        <f t="shared" si="26"/>
        <v>29558</v>
      </c>
      <c r="G72" s="97">
        <f t="shared" si="26"/>
        <v>37621.5</v>
      </c>
      <c r="H72" s="97">
        <f t="shared" si="26"/>
        <v>39824.550000000003</v>
      </c>
      <c r="I72" s="97">
        <f t="shared" si="26"/>
        <v>42493.962000000007</v>
      </c>
      <c r="J72" s="97">
        <f t="shared" si="26"/>
        <v>45970.28</v>
      </c>
      <c r="K72" s="97">
        <f t="shared" si="26"/>
        <v>52061.54308000001</v>
      </c>
      <c r="L72" s="97">
        <f t="shared" si="26"/>
        <v>55958.478234400012</v>
      </c>
      <c r="M72" s="97">
        <f t="shared" si="26"/>
        <v>59478.184132048016</v>
      </c>
      <c r="N72" s="97">
        <f t="shared" si="26"/>
        <v>64982.682613611367</v>
      </c>
      <c r="O72" s="97">
        <f t="shared" si="26"/>
        <v>84966.174129814957</v>
      </c>
      <c r="P72" s="97">
        <f t="shared" si="26"/>
        <v>95973.291542796476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outlineLevel="1" x14ac:dyDescent="0.25">
      <c r="A73" s="14"/>
      <c r="B73" s="14"/>
      <c r="C73" s="58"/>
      <c r="D73" s="51"/>
      <c r="E73" s="51"/>
      <c r="F73" s="51"/>
      <c r="G73" s="51"/>
      <c r="H73" s="51"/>
      <c r="I73" s="14"/>
      <c r="J73" s="14"/>
      <c r="K73" s="14"/>
      <c r="L73" s="14"/>
      <c r="M73" s="14"/>
      <c r="N73" s="14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outlineLevel="1" x14ac:dyDescent="0.25">
      <c r="A74" s="1" t="s">
        <v>183</v>
      </c>
      <c r="B74" s="1"/>
      <c r="C74" s="2"/>
      <c r="D74" s="149">
        <v>1120.1708000000001</v>
      </c>
      <c r="E74" s="149">
        <v>4858.2165021220308</v>
      </c>
      <c r="F74" s="149">
        <v>8482.8061148686775</v>
      </c>
      <c r="G74" s="149">
        <v>10908.02097640469</v>
      </c>
      <c r="H74" s="149">
        <v>11597.665241419718</v>
      </c>
      <c r="I74" s="60">
        <f>I72*0.28</f>
        <v>11898.309360000003</v>
      </c>
      <c r="J74" s="60">
        <f t="shared" ref="J74:P74" si="27">J72*0.28</f>
        <v>12871.678400000001</v>
      </c>
      <c r="K74" s="60">
        <f t="shared" si="27"/>
        <v>14577.232062400004</v>
      </c>
      <c r="L74" s="60">
        <f t="shared" si="27"/>
        <v>15668.373905632005</v>
      </c>
      <c r="M74" s="60">
        <f t="shared" si="27"/>
        <v>16653.891556973445</v>
      </c>
      <c r="N74" s="60">
        <f t="shared" si="27"/>
        <v>18195.151131811184</v>
      </c>
      <c r="O74" s="60">
        <f t="shared" si="27"/>
        <v>23790.528756348191</v>
      </c>
      <c r="P74" s="60">
        <f t="shared" si="27"/>
        <v>26872.521631983014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outlineLevel="1" x14ac:dyDescent="0.25">
      <c r="A75" s="108" t="s">
        <v>184</v>
      </c>
      <c r="B75" s="108"/>
      <c r="C75" s="125"/>
      <c r="D75" s="108">
        <f t="shared" ref="D75:P75" si="28">D72-D74</f>
        <v>2473.8292000000001</v>
      </c>
      <c r="E75" s="108">
        <f t="shared" si="28"/>
        <v>11790.783497877968</v>
      </c>
      <c r="F75" s="108">
        <f t="shared" si="28"/>
        <v>21075.193885131324</v>
      </c>
      <c r="G75" s="108">
        <f t="shared" si="28"/>
        <v>26713.479023595311</v>
      </c>
      <c r="H75" s="108">
        <f t="shared" si="28"/>
        <v>28226.884758580287</v>
      </c>
      <c r="I75" s="108">
        <f t="shared" si="28"/>
        <v>30595.652640000004</v>
      </c>
      <c r="J75" s="108">
        <f t="shared" si="28"/>
        <v>33098.601599999995</v>
      </c>
      <c r="K75" s="108">
        <f t="shared" si="28"/>
        <v>37484.311017600005</v>
      </c>
      <c r="L75" s="108">
        <f t="shared" si="28"/>
        <v>40290.104328768008</v>
      </c>
      <c r="M75" s="108">
        <f t="shared" si="28"/>
        <v>42824.292575074571</v>
      </c>
      <c r="N75" s="108">
        <f t="shared" si="28"/>
        <v>46787.531481800179</v>
      </c>
      <c r="O75" s="108">
        <f t="shared" si="28"/>
        <v>61175.645373466767</v>
      </c>
      <c r="P75" s="108">
        <f t="shared" si="28"/>
        <v>69100.769910813455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outlineLevel="1" x14ac:dyDescent="0.25">
      <c r="A76" s="1"/>
      <c r="B76" s="1"/>
      <c r="C76" s="2"/>
      <c r="D76" s="8"/>
      <c r="E76" s="8"/>
      <c r="F76" s="8"/>
      <c r="G76" s="8"/>
      <c r="H76" s="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x14ac:dyDescent="0.25">
      <c r="A77" s="1"/>
      <c r="B77" s="1"/>
      <c r="C77" s="2"/>
      <c r="D77" s="8"/>
      <c r="E77" s="8"/>
      <c r="F77" s="8"/>
      <c r="G77" s="8"/>
      <c r="H77" s="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x14ac:dyDescent="0.35">
      <c r="A78" s="88" t="s">
        <v>185</v>
      </c>
      <c r="B78" s="89"/>
      <c r="C78" s="90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outlineLevel="1" x14ac:dyDescent="0.25">
      <c r="A79" s="1"/>
      <c r="B79" s="1"/>
      <c r="C79" s="2"/>
      <c r="D79" s="8"/>
      <c r="E79" s="8"/>
      <c r="F79" s="8"/>
      <c r="G79" s="8"/>
      <c r="H79" s="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outlineLevel="1" x14ac:dyDescent="0.25">
      <c r="A80" s="14" t="s">
        <v>97</v>
      </c>
      <c r="B80" s="1"/>
      <c r="C80" s="2"/>
      <c r="D80" s="8"/>
      <c r="E80" s="8"/>
      <c r="F80" s="8"/>
      <c r="G80" s="8"/>
      <c r="H80" s="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outlineLevel="1" x14ac:dyDescent="0.25">
      <c r="A81" s="1" t="s">
        <v>52</v>
      </c>
      <c r="B81" s="1"/>
      <c r="C81" s="61"/>
      <c r="D81" s="152">
        <v>67971.179199999999</v>
      </c>
      <c r="E81" s="152">
        <v>81209.912697877982</v>
      </c>
      <c r="F81" s="152">
        <v>83715.256583009294</v>
      </c>
      <c r="G81" s="152">
        <v>111069.33560660461</v>
      </c>
      <c r="H81" s="152">
        <v>139549.5203651849</v>
      </c>
      <c r="I81" s="1">
        <v>159473.85546545888</v>
      </c>
      <c r="J81" s="1">
        <v>182573.31492080135</v>
      </c>
      <c r="K81" s="1">
        <v>190511.03538431914</v>
      </c>
      <c r="L81" s="1">
        <v>224323.42353473644</v>
      </c>
      <c r="M81" s="1">
        <v>261247.54442510585</v>
      </c>
      <c r="N81" s="1">
        <v>303250.38710907951</v>
      </c>
      <c r="O81" s="1">
        <v>367525.82526342495</v>
      </c>
      <c r="P81" s="1">
        <v>432307.77202299447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outlineLevel="1" x14ac:dyDescent="0.25">
      <c r="A82" s="1" t="s">
        <v>98</v>
      </c>
      <c r="B82" s="1"/>
      <c r="C82" s="61"/>
      <c r="D82" s="152">
        <v>5100.3500000000004</v>
      </c>
      <c r="E82" s="152">
        <v>5904.3</v>
      </c>
      <c r="F82" s="152">
        <v>6567.25</v>
      </c>
      <c r="G82" s="152">
        <v>7117.05</v>
      </c>
      <c r="H82" s="152">
        <v>7538.6</v>
      </c>
      <c r="I82" s="153">
        <f>I63*I52/365</f>
        <v>8178.8646575342473</v>
      </c>
      <c r="J82" s="153">
        <f t="shared" ref="J82:P82" si="29">J63*J52/365</f>
        <v>8996.7511232876732</v>
      </c>
      <c r="K82" s="153">
        <f t="shared" si="29"/>
        <v>9896.42623561644</v>
      </c>
      <c r="L82" s="153">
        <f t="shared" si="29"/>
        <v>10787.10459682192</v>
      </c>
      <c r="M82" s="153">
        <f t="shared" si="29"/>
        <v>11650.072964567677</v>
      </c>
      <c r="N82" s="153">
        <f t="shared" si="29"/>
        <v>12465.578072087414</v>
      </c>
      <c r="O82" s="153">
        <f t="shared" si="29"/>
        <v>13712.135879296153</v>
      </c>
      <c r="P82" s="153">
        <f t="shared" si="29"/>
        <v>15083.349467225771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outlineLevel="1" x14ac:dyDescent="0.25">
      <c r="A83" s="1" t="s">
        <v>99</v>
      </c>
      <c r="B83" s="1"/>
      <c r="C83" s="61"/>
      <c r="D83" s="152">
        <v>7804.6</v>
      </c>
      <c r="E83" s="152">
        <v>9600.8000000000011</v>
      </c>
      <c r="F83" s="152">
        <v>9824.6</v>
      </c>
      <c r="G83" s="152">
        <v>10530.800000000001</v>
      </c>
      <c r="H83" s="152">
        <v>11342</v>
      </c>
      <c r="I83" s="60">
        <f>I64*I53/365</f>
        <v>15267.21402739726</v>
      </c>
      <c r="J83" s="60">
        <f t="shared" ref="J83:P83" si="30">J64*J53/365</f>
        <v>19343.014915068496</v>
      </c>
      <c r="K83" s="60">
        <f t="shared" si="30"/>
        <v>24191.264131506854</v>
      </c>
      <c r="L83" s="60">
        <f t="shared" si="30"/>
        <v>26967.761492054804</v>
      </c>
      <c r="M83" s="60">
        <f t="shared" si="30"/>
        <v>29772.408687228501</v>
      </c>
      <c r="N83" s="60">
        <f t="shared" si="30"/>
        <v>31856.477295334498</v>
      </c>
      <c r="O83" s="60">
        <f t="shared" si="30"/>
        <v>25595.986974686148</v>
      </c>
      <c r="P83" s="60">
        <f t="shared" si="30"/>
        <v>28155.585672154772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outlineLevel="1" x14ac:dyDescent="0.25">
      <c r="A84" s="126" t="s">
        <v>100</v>
      </c>
      <c r="B84" s="94"/>
      <c r="C84" s="127"/>
      <c r="D84" s="97">
        <f t="shared" ref="D84:P84" si="31">SUM(D81:D83)</f>
        <v>80876.12920000001</v>
      </c>
      <c r="E84" s="97">
        <f t="shared" si="31"/>
        <v>96715.012697877988</v>
      </c>
      <c r="F84" s="97">
        <f t="shared" si="31"/>
        <v>100107.1065830093</v>
      </c>
      <c r="G84" s="97">
        <f t="shared" si="31"/>
        <v>128717.18560660462</v>
      </c>
      <c r="H84" s="97">
        <f t="shared" si="31"/>
        <v>158430.12036518491</v>
      </c>
      <c r="I84" s="97">
        <f t="shared" si="31"/>
        <v>182919.93415039039</v>
      </c>
      <c r="J84" s="97">
        <f t="shared" si="31"/>
        <v>210913.08095915752</v>
      </c>
      <c r="K84" s="97">
        <f t="shared" si="31"/>
        <v>224598.72575144243</v>
      </c>
      <c r="L84" s="97">
        <f t="shared" si="31"/>
        <v>262078.28962361315</v>
      </c>
      <c r="M84" s="97">
        <f t="shared" si="31"/>
        <v>302670.02607690205</v>
      </c>
      <c r="N84" s="97">
        <f t="shared" si="31"/>
        <v>347572.44247650146</v>
      </c>
      <c r="O84" s="97">
        <f t="shared" si="31"/>
        <v>406833.94811740727</v>
      </c>
      <c r="P84" s="97">
        <f t="shared" si="31"/>
        <v>475546.70716237504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outlineLevel="1" x14ac:dyDescent="0.25">
      <c r="A85" s="1" t="s">
        <v>101</v>
      </c>
      <c r="B85" s="1"/>
      <c r="C85" s="2"/>
      <c r="D85" s="148">
        <v>45500</v>
      </c>
      <c r="E85" s="149">
        <v>42350</v>
      </c>
      <c r="F85" s="149">
        <v>40145</v>
      </c>
      <c r="G85" s="149">
        <v>38601.5</v>
      </c>
      <c r="H85" s="149">
        <v>37521.050000000003</v>
      </c>
      <c r="I85" s="1">
        <v>45016.840000000004</v>
      </c>
      <c r="J85" s="1">
        <v>51013.472000000002</v>
      </c>
      <c r="K85" s="1">
        <v>55810.777600000009</v>
      </c>
      <c r="L85" s="1">
        <v>59648.622080000001</v>
      </c>
      <c r="M85" s="1">
        <v>62718.897664000004</v>
      </c>
      <c r="N85" s="1">
        <v>65175.118131200004</v>
      </c>
      <c r="O85" s="1">
        <v>67140</v>
      </c>
      <c r="P85" s="1">
        <v>68712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outlineLevel="1" x14ac:dyDescent="0.25">
      <c r="A86" s="1" t="s">
        <v>102</v>
      </c>
      <c r="B86" s="1"/>
      <c r="C86" s="2"/>
      <c r="D86" s="8"/>
      <c r="E86" s="8"/>
      <c r="F86" s="8"/>
      <c r="G86" s="8"/>
      <c r="H86" s="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outlineLevel="1" x14ac:dyDescent="0.25">
      <c r="A87" s="108" t="s">
        <v>103</v>
      </c>
      <c r="B87" s="108"/>
      <c r="C87" s="125"/>
      <c r="D87" s="108">
        <f t="shared" ref="D87:N87" si="32">SUM(D84:D86)</f>
        <v>126376.12920000001</v>
      </c>
      <c r="E87" s="108">
        <f t="shared" si="32"/>
        <v>139065.012697878</v>
      </c>
      <c r="F87" s="108">
        <f t="shared" si="32"/>
        <v>140252.1065830093</v>
      </c>
      <c r="G87" s="108">
        <f t="shared" si="32"/>
        <v>167318.68560660462</v>
      </c>
      <c r="H87" s="108">
        <f t="shared" si="32"/>
        <v>195951.17036518489</v>
      </c>
      <c r="I87" s="108">
        <f t="shared" si="32"/>
        <v>227936.77415039038</v>
      </c>
      <c r="J87" s="108">
        <f t="shared" si="32"/>
        <v>261926.55295915753</v>
      </c>
      <c r="K87" s="108">
        <f t="shared" si="32"/>
        <v>280409.50335144246</v>
      </c>
      <c r="L87" s="108">
        <f t="shared" si="32"/>
        <v>321726.91170361312</v>
      </c>
      <c r="M87" s="108">
        <f t="shared" si="32"/>
        <v>365388.92374090204</v>
      </c>
      <c r="N87" s="108">
        <f t="shared" si="32"/>
        <v>412747.56060770148</v>
      </c>
      <c r="O87" s="108">
        <f>SUM(O84:O86)</f>
        <v>473973.94811740727</v>
      </c>
      <c r="P87" s="108">
        <f>SUM(P84:P86)</f>
        <v>544258.7071623751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outlineLevel="1" x14ac:dyDescent="0.25">
      <c r="A88" s="14"/>
      <c r="B88" s="14"/>
      <c r="C88" s="58"/>
      <c r="D88" s="51"/>
      <c r="E88" s="51"/>
      <c r="F88" s="51"/>
      <c r="G88" s="51"/>
      <c r="H88" s="51"/>
      <c r="I88" s="14"/>
      <c r="J88" s="14"/>
      <c r="K88" s="14"/>
      <c r="L88" s="14"/>
      <c r="M88" s="14"/>
      <c r="N88" s="14"/>
      <c r="O88" s="14"/>
      <c r="P88" s="14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outlineLevel="1" x14ac:dyDescent="0.25">
      <c r="A89" s="14" t="s">
        <v>104</v>
      </c>
      <c r="B89" s="1"/>
      <c r="C89" s="61"/>
      <c r="D89" s="8"/>
      <c r="E89" s="8"/>
      <c r="F89" s="8"/>
      <c r="G89" s="8"/>
      <c r="H89" s="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outlineLevel="1" x14ac:dyDescent="0.25">
      <c r="A90" s="63" t="s">
        <v>105</v>
      </c>
      <c r="B90" s="1"/>
      <c r="C90" s="61"/>
      <c r="D90" s="8"/>
      <c r="E90" s="8"/>
      <c r="F90" s="8"/>
      <c r="G90" s="8"/>
      <c r="H90" s="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outlineLevel="1" x14ac:dyDescent="0.25">
      <c r="A91" s="1" t="s">
        <v>106</v>
      </c>
      <c r="B91" s="1"/>
      <c r="C91" s="61"/>
      <c r="D91" s="149">
        <v>3902.3</v>
      </c>
      <c r="E91" s="149">
        <v>4800.4000000000005</v>
      </c>
      <c r="F91" s="149">
        <v>4912.3</v>
      </c>
      <c r="G91" s="149">
        <v>5265.4000000000005</v>
      </c>
      <c r="H91" s="149">
        <v>5671</v>
      </c>
      <c r="I91" s="60">
        <f>I64*I54/365</f>
        <v>7061.086487671233</v>
      </c>
      <c r="J91" s="60">
        <f t="shared" ref="J91:P91" si="33">J64*J54/365</f>
        <v>7952.1283539726046</v>
      </c>
      <c r="K91" s="60">
        <f t="shared" si="33"/>
        <v>8950.7677286575363</v>
      </c>
      <c r="L91" s="60">
        <f t="shared" si="33"/>
        <v>9978.0717520602775</v>
      </c>
      <c r="M91" s="60">
        <f t="shared" si="33"/>
        <v>11015.791214274544</v>
      </c>
      <c r="N91" s="60">
        <f t="shared" si="33"/>
        <v>11786.896599273763</v>
      </c>
      <c r="O91" s="60">
        <f t="shared" si="33"/>
        <v>11838.143975792345</v>
      </c>
      <c r="P91" s="60">
        <f t="shared" si="33"/>
        <v>13021.958373371581</v>
      </c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outlineLevel="1" x14ac:dyDescent="0.25">
      <c r="A92" s="126" t="s">
        <v>107</v>
      </c>
      <c r="B92" s="97"/>
      <c r="C92" s="128"/>
      <c r="D92" s="97">
        <f t="shared" ref="D92:P92" si="34">SUM(D90:D91)</f>
        <v>3902.3</v>
      </c>
      <c r="E92" s="97">
        <f t="shared" si="34"/>
        <v>4800.4000000000005</v>
      </c>
      <c r="F92" s="97">
        <f t="shared" si="34"/>
        <v>4912.3</v>
      </c>
      <c r="G92" s="97">
        <f t="shared" si="34"/>
        <v>5265.4000000000005</v>
      </c>
      <c r="H92" s="97">
        <f t="shared" si="34"/>
        <v>5671</v>
      </c>
      <c r="I92" s="97">
        <f t="shared" si="34"/>
        <v>7061.086487671233</v>
      </c>
      <c r="J92" s="97">
        <f t="shared" si="34"/>
        <v>7952.1283539726046</v>
      </c>
      <c r="K92" s="97">
        <f t="shared" si="34"/>
        <v>8950.7677286575363</v>
      </c>
      <c r="L92" s="97">
        <f t="shared" si="34"/>
        <v>9978.0717520602775</v>
      </c>
      <c r="M92" s="97">
        <f t="shared" si="34"/>
        <v>11015.791214274544</v>
      </c>
      <c r="N92" s="97">
        <f t="shared" si="34"/>
        <v>11786.896599273763</v>
      </c>
      <c r="O92" s="97">
        <f t="shared" si="34"/>
        <v>11838.143975792345</v>
      </c>
      <c r="P92" s="97">
        <f t="shared" si="34"/>
        <v>13021.958373371581</v>
      </c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outlineLevel="1" x14ac:dyDescent="0.25">
      <c r="A93" s="1" t="s">
        <v>108</v>
      </c>
      <c r="B93" s="1"/>
      <c r="C93" s="2"/>
      <c r="D93" s="142">
        <v>50000</v>
      </c>
      <c r="E93" s="142">
        <v>50000</v>
      </c>
      <c r="F93" s="142">
        <v>30000</v>
      </c>
      <c r="G93" s="142">
        <v>30000</v>
      </c>
      <c r="H93" s="142">
        <v>30000</v>
      </c>
      <c r="I93" s="142">
        <v>30000</v>
      </c>
      <c r="J93" s="142">
        <v>30000</v>
      </c>
      <c r="K93" s="1">
        <v>10000</v>
      </c>
      <c r="L93" s="1">
        <v>10000</v>
      </c>
      <c r="M93" s="1">
        <v>10000</v>
      </c>
      <c r="N93" s="1">
        <v>10000</v>
      </c>
      <c r="O93" s="1">
        <v>10000</v>
      </c>
      <c r="P93" s="1">
        <v>10000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outlineLevel="1" x14ac:dyDescent="0.25">
      <c r="A94" s="97" t="s">
        <v>109</v>
      </c>
      <c r="B94" s="97"/>
      <c r="C94" s="102"/>
      <c r="D94" s="97">
        <f t="shared" ref="D94:P94" si="35">SUM(D92:D93)</f>
        <v>53902.3</v>
      </c>
      <c r="E94" s="97">
        <f t="shared" si="35"/>
        <v>54800.4</v>
      </c>
      <c r="F94" s="97">
        <f t="shared" si="35"/>
        <v>34912.300000000003</v>
      </c>
      <c r="G94" s="97">
        <f t="shared" si="35"/>
        <v>35265.4</v>
      </c>
      <c r="H94" s="97">
        <f t="shared" si="35"/>
        <v>35671</v>
      </c>
      <c r="I94" s="97">
        <f t="shared" si="35"/>
        <v>37061.086487671229</v>
      </c>
      <c r="J94" s="97">
        <f t="shared" si="35"/>
        <v>37952.128353972606</v>
      </c>
      <c r="K94" s="97">
        <f t="shared" si="35"/>
        <v>18950.767728657534</v>
      </c>
      <c r="L94" s="97">
        <f t="shared" si="35"/>
        <v>19978.071752060278</v>
      </c>
      <c r="M94" s="97">
        <f t="shared" si="35"/>
        <v>21015.791214274544</v>
      </c>
      <c r="N94" s="97">
        <f t="shared" si="35"/>
        <v>21786.896599273765</v>
      </c>
      <c r="O94" s="97">
        <f t="shared" si="35"/>
        <v>21838.143975792344</v>
      </c>
      <c r="P94" s="97">
        <f t="shared" si="35"/>
        <v>23021.958373371581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outlineLevel="1" x14ac:dyDescent="0.25">
      <c r="A95" s="14" t="s">
        <v>110</v>
      </c>
      <c r="B95" s="1"/>
      <c r="C95" s="2"/>
      <c r="D95" s="8"/>
      <c r="E95" s="8"/>
      <c r="F95" s="8"/>
      <c r="G95" s="8"/>
      <c r="H95" s="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outlineLevel="1" x14ac:dyDescent="0.25">
      <c r="A96" s="1" t="s">
        <v>111</v>
      </c>
      <c r="B96" s="1"/>
      <c r="C96" s="2"/>
      <c r="D96" s="149">
        <v>70000</v>
      </c>
      <c r="E96" s="149">
        <v>70000</v>
      </c>
      <c r="F96" s="149">
        <v>70000</v>
      </c>
      <c r="G96" s="149">
        <v>70000</v>
      </c>
      <c r="H96" s="149">
        <v>70000</v>
      </c>
      <c r="I96" s="1">
        <f t="shared" ref="I96:N96" si="36">H96+I57</f>
        <v>70000</v>
      </c>
      <c r="J96" s="1">
        <f t="shared" si="36"/>
        <v>70000</v>
      </c>
      <c r="K96" s="1">
        <f t="shared" si="36"/>
        <v>70000</v>
      </c>
      <c r="L96" s="1">
        <f t="shared" si="36"/>
        <v>70000</v>
      </c>
      <c r="M96" s="1">
        <f t="shared" si="36"/>
        <v>70000</v>
      </c>
      <c r="N96" s="1">
        <f t="shared" si="36"/>
        <v>70000</v>
      </c>
      <c r="O96" s="1">
        <f>H96+O57</f>
        <v>70000</v>
      </c>
      <c r="P96" s="1">
        <f t="shared" ref="P96" si="37">+I96</f>
        <v>70000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outlineLevel="1" x14ac:dyDescent="0.25">
      <c r="A97" s="1" t="s">
        <v>112</v>
      </c>
      <c r="B97" s="1"/>
      <c r="C97" s="2"/>
      <c r="D97" s="149">
        <v>2473.8292000000001</v>
      </c>
      <c r="E97" s="149">
        <v>14264.612697877968</v>
      </c>
      <c r="F97" s="149">
        <v>35339.806583009296</v>
      </c>
      <c r="G97" s="149">
        <v>62053.285606604608</v>
      </c>
      <c r="H97" s="149">
        <v>90280.170365184895</v>
      </c>
      <c r="I97" s="1">
        <f t="shared" ref="I97:P97" si="38">H97+I75-I58</f>
        <v>120875.8230051849</v>
      </c>
      <c r="J97" s="1">
        <f t="shared" si="38"/>
        <v>153974.42460518487</v>
      </c>
      <c r="K97" s="1">
        <f t="shared" si="38"/>
        <v>191458.73562278488</v>
      </c>
      <c r="L97" s="1">
        <f t="shared" si="38"/>
        <v>231748.83995155289</v>
      </c>
      <c r="M97" s="1">
        <f t="shared" si="38"/>
        <v>274373.13252662745</v>
      </c>
      <c r="N97" s="1">
        <f t="shared" si="38"/>
        <v>320960.66400842764</v>
      </c>
      <c r="O97" s="1">
        <f>N97+O75-O58</f>
        <v>382136.30938189442</v>
      </c>
      <c r="P97" s="1">
        <f t="shared" si="38"/>
        <v>451237.07929270784</v>
      </c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outlineLevel="1" x14ac:dyDescent="0.25">
      <c r="A98" s="110" t="s">
        <v>110</v>
      </c>
      <c r="B98" s="110"/>
      <c r="C98" s="113"/>
      <c r="D98" s="110">
        <f t="shared" ref="D98:P98" si="39">SUM(D96:D97)</f>
        <v>72473.829200000007</v>
      </c>
      <c r="E98" s="110">
        <f t="shared" si="39"/>
        <v>84264.612697877965</v>
      </c>
      <c r="F98" s="110">
        <f t="shared" si="39"/>
        <v>105339.8065830093</v>
      </c>
      <c r="G98" s="110">
        <f t="shared" si="39"/>
        <v>132053.28560660459</v>
      </c>
      <c r="H98" s="110">
        <f t="shared" si="39"/>
        <v>160280.17036518489</v>
      </c>
      <c r="I98" s="110">
        <f t="shared" si="39"/>
        <v>190875.82300518488</v>
      </c>
      <c r="J98" s="110">
        <f t="shared" si="39"/>
        <v>223974.42460518487</v>
      </c>
      <c r="K98" s="110">
        <f t="shared" si="39"/>
        <v>261458.73562278488</v>
      </c>
      <c r="L98" s="110">
        <f t="shared" si="39"/>
        <v>301748.83995155292</v>
      </c>
      <c r="M98" s="110">
        <f t="shared" si="39"/>
        <v>344373.13252662745</v>
      </c>
      <c r="N98" s="110">
        <f t="shared" si="39"/>
        <v>390960.66400842764</v>
      </c>
      <c r="O98" s="110">
        <f t="shared" si="39"/>
        <v>452136.30938189442</v>
      </c>
      <c r="P98" s="110">
        <f t="shared" si="39"/>
        <v>521237.07929270784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outlineLevel="1" x14ac:dyDescent="0.25">
      <c r="A99" s="108" t="s">
        <v>113</v>
      </c>
      <c r="B99" s="108"/>
      <c r="C99" s="125"/>
      <c r="D99" s="108">
        <f t="shared" ref="D99:H99" si="40">D94+D98</f>
        <v>126376.12920000001</v>
      </c>
      <c r="E99" s="108">
        <f t="shared" si="40"/>
        <v>139065.01269787797</v>
      </c>
      <c r="F99" s="108">
        <f t="shared" si="40"/>
        <v>140252.1065830093</v>
      </c>
      <c r="G99" s="108">
        <f t="shared" si="40"/>
        <v>167318.68560660459</v>
      </c>
      <c r="H99" s="108">
        <f t="shared" si="40"/>
        <v>195951.17036518489</v>
      </c>
      <c r="I99" s="108">
        <f t="shared" ref="I99:N99" si="41">I98+I94</f>
        <v>227936.90949285612</v>
      </c>
      <c r="J99" s="108">
        <f t="shared" si="41"/>
        <v>261926.55295915747</v>
      </c>
      <c r="K99" s="108">
        <f t="shared" si="41"/>
        <v>280409.5033514424</v>
      </c>
      <c r="L99" s="108">
        <f t="shared" si="41"/>
        <v>321726.91170361318</v>
      </c>
      <c r="M99" s="108">
        <f t="shared" si="41"/>
        <v>365388.92374090198</v>
      </c>
      <c r="N99" s="108">
        <f t="shared" si="41"/>
        <v>412747.56060770142</v>
      </c>
      <c r="O99" s="108">
        <f>O98+O94</f>
        <v>473974.45335768675</v>
      </c>
      <c r="P99" s="108">
        <f>P98+P94</f>
        <v>544259.03766607947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outlineLevel="1" x14ac:dyDescent="0.25">
      <c r="A100" s="1"/>
      <c r="B100" s="1"/>
      <c r="C100" s="2"/>
      <c r="D100" s="8"/>
      <c r="E100" s="8"/>
      <c r="F100" s="8"/>
      <c r="G100" s="8"/>
      <c r="H100" s="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outlineLevel="1" x14ac:dyDescent="0.25">
      <c r="A101" s="25" t="s">
        <v>114</v>
      </c>
      <c r="B101" s="64"/>
      <c r="C101" s="65"/>
      <c r="D101" s="64">
        <f>D99-D87</f>
        <v>0</v>
      </c>
      <c r="E101" s="64">
        <f t="shared" ref="E101:N101" si="42">E99-E87</f>
        <v>0</v>
      </c>
      <c r="F101" s="64">
        <f t="shared" si="42"/>
        <v>0</v>
      </c>
      <c r="G101" s="64">
        <f t="shared" si="42"/>
        <v>0</v>
      </c>
      <c r="H101" s="64">
        <f t="shared" si="42"/>
        <v>0</v>
      </c>
      <c r="I101" s="64">
        <f>J99-J87</f>
        <v>0</v>
      </c>
      <c r="J101" s="64">
        <f t="shared" si="42"/>
        <v>0</v>
      </c>
      <c r="K101" s="64">
        <f t="shared" si="42"/>
        <v>0</v>
      </c>
      <c r="L101" s="64">
        <f t="shared" si="42"/>
        <v>0</v>
      </c>
      <c r="M101" s="64">
        <f t="shared" si="42"/>
        <v>0</v>
      </c>
      <c r="N101" s="64">
        <f t="shared" si="42"/>
        <v>0</v>
      </c>
      <c r="O101" s="64">
        <f>O99-O87</f>
        <v>0.50524027948267758</v>
      </c>
      <c r="P101" s="64">
        <f>P99-P87</f>
        <v>0.3305037043755874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outlineLevel="1" x14ac:dyDescent="0.25">
      <c r="A102" s="64"/>
      <c r="B102" s="64"/>
      <c r="C102" s="65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x14ac:dyDescent="0.25">
      <c r="A103" s="1"/>
      <c r="B103" s="1"/>
      <c r="C103" s="2"/>
      <c r="D103" s="8"/>
      <c r="E103" s="8"/>
      <c r="F103" s="8"/>
      <c r="G103" s="8"/>
      <c r="H103" s="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x14ac:dyDescent="0.35">
      <c r="A104" s="88" t="s">
        <v>186</v>
      </c>
      <c r="B104" s="89"/>
      <c r="C104" s="90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outlineLevel="1" x14ac:dyDescent="0.25">
      <c r="A105" s="14"/>
      <c r="B105" s="1"/>
      <c r="C105" s="2"/>
      <c r="D105" s="51"/>
      <c r="E105" s="8"/>
      <c r="F105" s="8"/>
      <c r="G105" s="8"/>
      <c r="H105" s="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outlineLevel="1" x14ac:dyDescent="0.25">
      <c r="A106" s="14" t="s">
        <v>187</v>
      </c>
      <c r="B106" s="1"/>
      <c r="C106" s="2"/>
      <c r="D106" s="8"/>
      <c r="E106" s="8"/>
      <c r="F106" s="8"/>
      <c r="G106" s="8"/>
      <c r="H106" s="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outlineLevel="1" x14ac:dyDescent="0.25">
      <c r="A107" s="1" t="s">
        <v>184</v>
      </c>
      <c r="B107" s="1"/>
      <c r="C107" s="2"/>
      <c r="D107" s="1">
        <f t="shared" ref="D107:P107" si="43">D75</f>
        <v>2473.8292000000001</v>
      </c>
      <c r="E107" s="1">
        <f t="shared" si="43"/>
        <v>11790.783497877968</v>
      </c>
      <c r="F107" s="1">
        <f t="shared" si="43"/>
        <v>21075.193885131324</v>
      </c>
      <c r="G107" s="1">
        <f t="shared" si="43"/>
        <v>26713.479023595311</v>
      </c>
      <c r="H107" s="1">
        <f t="shared" si="43"/>
        <v>28226.884758580287</v>
      </c>
      <c r="I107" s="1">
        <f t="shared" si="43"/>
        <v>30595.652640000004</v>
      </c>
      <c r="J107" s="1">
        <f t="shared" si="43"/>
        <v>33098.601599999995</v>
      </c>
      <c r="K107" s="1">
        <f t="shared" si="43"/>
        <v>37484.311017600005</v>
      </c>
      <c r="L107" s="1">
        <f t="shared" si="43"/>
        <v>40290.104328768008</v>
      </c>
      <c r="M107" s="1">
        <f t="shared" si="43"/>
        <v>42824.292575074571</v>
      </c>
      <c r="N107" s="1">
        <f t="shared" si="43"/>
        <v>46787.531481800179</v>
      </c>
      <c r="O107" s="1">
        <f t="shared" si="43"/>
        <v>61175.645373466767</v>
      </c>
      <c r="P107" s="1">
        <f t="shared" si="43"/>
        <v>69100.769910813455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outlineLevel="1" x14ac:dyDescent="0.25">
      <c r="A108" s="1" t="s">
        <v>188</v>
      </c>
      <c r="B108" s="1"/>
      <c r="C108" s="2"/>
      <c r="D108" s="8">
        <f>D141</f>
        <v>19500</v>
      </c>
      <c r="E108" s="8">
        <f t="shared" ref="E108:H108" si="44">E141</f>
        <v>18150</v>
      </c>
      <c r="F108" s="8">
        <f t="shared" si="44"/>
        <v>17205</v>
      </c>
      <c r="G108" s="8">
        <f t="shared" si="44"/>
        <v>16543.5</v>
      </c>
      <c r="H108" s="8">
        <f t="shared" si="44"/>
        <v>16080.449999999999</v>
      </c>
      <c r="I108" s="1">
        <v>7504.2100000000009</v>
      </c>
      <c r="J108" s="1">
        <v>9003.3680000000004</v>
      </c>
      <c r="K108" s="1">
        <v>10202.6944</v>
      </c>
      <c r="L108" s="1">
        <v>11162.155520000002</v>
      </c>
      <c r="M108" s="1">
        <v>11929.724416000001</v>
      </c>
      <c r="N108" s="1">
        <v>12543.779532800001</v>
      </c>
      <c r="O108" s="1">
        <v>13035</v>
      </c>
      <c r="P108" s="1">
        <v>13428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outlineLevel="1" x14ac:dyDescent="0.25">
      <c r="A109" s="1" t="s">
        <v>189</v>
      </c>
      <c r="B109" s="1"/>
      <c r="C109" s="2"/>
      <c r="D109" s="1">
        <v>9002.6500000000015</v>
      </c>
      <c r="E109" s="1">
        <v>1702.0499999999993</v>
      </c>
      <c r="F109" s="1">
        <v>774.84999999999854</v>
      </c>
      <c r="G109" s="1">
        <v>902.90000000000146</v>
      </c>
      <c r="H109" s="1">
        <v>827.14999999999782</v>
      </c>
      <c r="I109" s="1">
        <v>3175.5275397260302</v>
      </c>
      <c r="J109" s="1">
        <v>4002.5101446575318</v>
      </c>
      <c r="K109" s="1">
        <v>4749.284954082199</v>
      </c>
      <c r="L109" s="1">
        <v>2639.8716983506893</v>
      </c>
      <c r="M109" s="1">
        <v>2629.8961007051803</v>
      </c>
      <c r="N109" s="1">
        <v>2128.4683306265179</v>
      </c>
      <c r="O109" s="1">
        <v>-5065.1798899581918</v>
      </c>
      <c r="P109" s="1">
        <v>2746.997887819005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outlineLevel="1" x14ac:dyDescent="0.25">
      <c r="A110" s="97" t="s">
        <v>190</v>
      </c>
      <c r="B110" s="94"/>
      <c r="C110" s="100"/>
      <c r="D110" s="97">
        <f t="shared" ref="D110:P110" si="45">D107+D108-D109</f>
        <v>12971.179199999999</v>
      </c>
      <c r="E110" s="97">
        <f t="shared" si="45"/>
        <v>28238.733497877969</v>
      </c>
      <c r="F110" s="97">
        <f t="shared" si="45"/>
        <v>37505.343885131326</v>
      </c>
      <c r="G110" s="97">
        <f t="shared" si="45"/>
        <v>42354.07902359531</v>
      </c>
      <c r="H110" s="97">
        <f t="shared" si="45"/>
        <v>43480.18475858029</v>
      </c>
      <c r="I110" s="97">
        <f t="shared" si="45"/>
        <v>34924.33510027398</v>
      </c>
      <c r="J110" s="97">
        <f t="shared" si="45"/>
        <v>38099.459455342469</v>
      </c>
      <c r="K110" s="97">
        <f t="shared" si="45"/>
        <v>42937.720463517806</v>
      </c>
      <c r="L110" s="97">
        <f t="shared" si="45"/>
        <v>48812.388150417319</v>
      </c>
      <c r="M110" s="97">
        <f t="shared" si="45"/>
        <v>52124.120890369391</v>
      </c>
      <c r="N110" s="97">
        <f t="shared" si="45"/>
        <v>57202.842683973664</v>
      </c>
      <c r="O110" s="97">
        <f t="shared" si="45"/>
        <v>79275.825263424966</v>
      </c>
      <c r="P110" s="97">
        <f t="shared" si="45"/>
        <v>79781.772022994453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outlineLevel="1" x14ac:dyDescent="0.25">
      <c r="A111" s="14"/>
      <c r="B111" s="1"/>
      <c r="C111" s="2"/>
      <c r="D111" s="51"/>
      <c r="E111" s="51"/>
      <c r="F111" s="51"/>
      <c r="G111" s="51"/>
      <c r="H111" s="51"/>
      <c r="I111" s="14"/>
      <c r="J111" s="14"/>
      <c r="K111" s="14"/>
      <c r="L111" s="14"/>
      <c r="M111" s="14"/>
      <c r="N111" s="14"/>
      <c r="O111" s="14"/>
      <c r="P111" s="14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outlineLevel="1" x14ac:dyDescent="0.25">
      <c r="A112" s="14" t="s">
        <v>191</v>
      </c>
      <c r="B112" s="1"/>
      <c r="C112" s="2"/>
      <c r="D112" s="8"/>
      <c r="E112" s="8"/>
      <c r="F112" s="8"/>
      <c r="G112" s="8"/>
      <c r="H112" s="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outlineLevel="1" x14ac:dyDescent="0.25">
      <c r="A113" s="1" t="s">
        <v>192</v>
      </c>
      <c r="B113" s="1"/>
      <c r="C113" s="2"/>
      <c r="D113" s="8">
        <f>-D140</f>
        <v>-15000</v>
      </c>
      <c r="E113" s="8">
        <f t="shared" ref="E113:H113" si="46">-E140</f>
        <v>-15000</v>
      </c>
      <c r="F113" s="8">
        <f t="shared" si="46"/>
        <v>-15000</v>
      </c>
      <c r="G113" s="8">
        <f t="shared" si="46"/>
        <v>-15000</v>
      </c>
      <c r="H113" s="8">
        <f t="shared" si="46"/>
        <v>-15000</v>
      </c>
      <c r="I113" s="1">
        <f t="shared" ref="I113:P113" si="47">-I140</f>
        <v>-15000</v>
      </c>
      <c r="J113" s="1">
        <f t="shared" si="47"/>
        <v>-15000</v>
      </c>
      <c r="K113" s="1">
        <f t="shared" si="47"/>
        <v>-15000</v>
      </c>
      <c r="L113" s="1">
        <f t="shared" si="47"/>
        <v>-15000</v>
      </c>
      <c r="M113" s="1">
        <f t="shared" si="47"/>
        <v>-15000</v>
      </c>
      <c r="N113" s="1">
        <f t="shared" si="47"/>
        <v>-15000</v>
      </c>
      <c r="O113" s="1">
        <f t="shared" si="47"/>
        <v>-15000</v>
      </c>
      <c r="P113" s="1">
        <f t="shared" si="47"/>
        <v>-15000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outlineLevel="1" x14ac:dyDescent="0.25">
      <c r="A114" s="1" t="s">
        <v>193</v>
      </c>
      <c r="B114" s="1"/>
      <c r="C114" s="2"/>
      <c r="D114" s="8"/>
      <c r="E114" s="8"/>
      <c r="F114" s="8"/>
      <c r="G114" s="8"/>
      <c r="H114" s="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outlineLevel="1" x14ac:dyDescent="0.25">
      <c r="A115" s="97" t="s">
        <v>194</v>
      </c>
      <c r="B115" s="94"/>
      <c r="C115" s="100"/>
      <c r="D115" s="97">
        <f t="shared" ref="D115:P115" si="48">SUM(D113:D114)</f>
        <v>-15000</v>
      </c>
      <c r="E115" s="97">
        <f t="shared" si="48"/>
        <v>-15000</v>
      </c>
      <c r="F115" s="97">
        <f t="shared" si="48"/>
        <v>-15000</v>
      </c>
      <c r="G115" s="97">
        <f t="shared" si="48"/>
        <v>-15000</v>
      </c>
      <c r="H115" s="97">
        <f t="shared" si="48"/>
        <v>-15000</v>
      </c>
      <c r="I115" s="97">
        <f t="shared" si="48"/>
        <v>-15000</v>
      </c>
      <c r="J115" s="97">
        <f t="shared" si="48"/>
        <v>-15000</v>
      </c>
      <c r="K115" s="97">
        <f t="shared" si="48"/>
        <v>-15000</v>
      </c>
      <c r="L115" s="97">
        <f t="shared" si="48"/>
        <v>-15000</v>
      </c>
      <c r="M115" s="97">
        <f t="shared" si="48"/>
        <v>-15000</v>
      </c>
      <c r="N115" s="97">
        <f t="shared" si="48"/>
        <v>-15000</v>
      </c>
      <c r="O115" s="97">
        <f t="shared" si="48"/>
        <v>-15000</v>
      </c>
      <c r="P115" s="97">
        <f t="shared" si="48"/>
        <v>-15000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outlineLevel="1" x14ac:dyDescent="0.25">
      <c r="A116" s="14"/>
      <c r="B116" s="1"/>
      <c r="C116" s="2"/>
      <c r="D116" s="51"/>
      <c r="E116" s="51"/>
      <c r="F116" s="51"/>
      <c r="G116" s="51"/>
      <c r="H116" s="51"/>
      <c r="I116" s="14"/>
      <c r="J116" s="14"/>
      <c r="K116" s="14"/>
      <c r="L116" s="14"/>
      <c r="M116" s="14"/>
      <c r="N116" s="14"/>
      <c r="O116" s="14"/>
      <c r="P116" s="14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outlineLevel="1" x14ac:dyDescent="0.25">
      <c r="A117" s="14" t="s">
        <v>195</v>
      </c>
      <c r="B117" s="1"/>
      <c r="C117" s="2"/>
      <c r="D117" s="8"/>
      <c r="E117" s="8"/>
      <c r="F117" s="8"/>
      <c r="G117" s="8"/>
      <c r="H117" s="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outlineLevel="1" x14ac:dyDescent="0.25">
      <c r="A118" s="1" t="s">
        <v>196</v>
      </c>
      <c r="B118" s="1"/>
      <c r="C118" s="2"/>
      <c r="D118" s="8">
        <v>0</v>
      </c>
      <c r="E118" s="8">
        <v>0</v>
      </c>
      <c r="F118" s="8">
        <v>-20000</v>
      </c>
      <c r="G118" s="8">
        <v>0</v>
      </c>
      <c r="H118" s="8">
        <v>0</v>
      </c>
      <c r="I118" s="1">
        <f t="shared" ref="I118:P118" si="49">I146</f>
        <v>0</v>
      </c>
      <c r="J118" s="1">
        <f t="shared" si="49"/>
        <v>0</v>
      </c>
      <c r="K118" s="143">
        <f t="shared" si="49"/>
        <v>-20000</v>
      </c>
      <c r="L118" s="1">
        <f t="shared" si="49"/>
        <v>0</v>
      </c>
      <c r="M118" s="1">
        <f t="shared" si="49"/>
        <v>0</v>
      </c>
      <c r="N118" s="1">
        <f t="shared" si="49"/>
        <v>0</v>
      </c>
      <c r="O118" s="1">
        <f t="shared" si="49"/>
        <v>0</v>
      </c>
      <c r="P118" s="1">
        <f t="shared" si="49"/>
        <v>0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outlineLevel="1" x14ac:dyDescent="0.25">
      <c r="A119" s="1" t="s">
        <v>197</v>
      </c>
      <c r="B119" s="1"/>
      <c r="C119" s="2"/>
      <c r="D119" s="171" t="s">
        <v>278</v>
      </c>
      <c r="E119" s="8">
        <v>0</v>
      </c>
      <c r="F119" s="8">
        <v>0</v>
      </c>
      <c r="G119" s="8">
        <v>0</v>
      </c>
      <c r="H119" s="8">
        <v>0</v>
      </c>
      <c r="I119" s="1">
        <f t="shared" ref="I119:P119" si="50">I57</f>
        <v>0</v>
      </c>
      <c r="J119" s="1">
        <f t="shared" si="50"/>
        <v>0</v>
      </c>
      <c r="K119" s="1">
        <f t="shared" si="50"/>
        <v>0</v>
      </c>
      <c r="L119" s="1">
        <f t="shared" si="50"/>
        <v>0</v>
      </c>
      <c r="M119" s="1">
        <f t="shared" si="50"/>
        <v>0</v>
      </c>
      <c r="N119" s="1">
        <f t="shared" si="50"/>
        <v>0</v>
      </c>
      <c r="O119" s="1">
        <f t="shared" si="50"/>
        <v>0</v>
      </c>
      <c r="P119" s="1">
        <f t="shared" si="50"/>
        <v>0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outlineLevel="1" x14ac:dyDescent="0.25">
      <c r="A120" s="1" t="s">
        <v>198</v>
      </c>
      <c r="B120" s="1"/>
      <c r="C120" s="2"/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1">
        <f t="shared" ref="I120:P120" si="51">-I58</f>
        <v>0</v>
      </c>
      <c r="J120" s="1">
        <f t="shared" si="51"/>
        <v>0</v>
      </c>
      <c r="K120" s="1">
        <f t="shared" si="51"/>
        <v>0</v>
      </c>
      <c r="L120" s="1">
        <f t="shared" si="51"/>
        <v>0</v>
      </c>
      <c r="M120" s="1">
        <f t="shared" si="51"/>
        <v>-200</v>
      </c>
      <c r="N120" s="1">
        <f t="shared" si="51"/>
        <v>-200</v>
      </c>
      <c r="O120" s="1">
        <f t="shared" si="51"/>
        <v>0</v>
      </c>
      <c r="P120" s="1">
        <f t="shared" si="51"/>
        <v>0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outlineLevel="1" x14ac:dyDescent="0.25">
      <c r="A121" s="97" t="s">
        <v>199</v>
      </c>
      <c r="B121" s="94"/>
      <c r="C121" s="100"/>
      <c r="D121" s="97">
        <f t="shared" ref="D121:P121" si="52">SUM(D118:D120)</f>
        <v>0</v>
      </c>
      <c r="E121" s="97">
        <f t="shared" si="52"/>
        <v>0</v>
      </c>
      <c r="F121" s="97">
        <f t="shared" si="52"/>
        <v>-20000</v>
      </c>
      <c r="G121" s="97">
        <f t="shared" si="52"/>
        <v>0</v>
      </c>
      <c r="H121" s="97">
        <f t="shared" si="52"/>
        <v>0</v>
      </c>
      <c r="I121" s="97">
        <f t="shared" si="52"/>
        <v>0</v>
      </c>
      <c r="J121" s="97">
        <f t="shared" si="52"/>
        <v>0</v>
      </c>
      <c r="K121" s="97">
        <f t="shared" si="52"/>
        <v>-20000</v>
      </c>
      <c r="L121" s="97">
        <f t="shared" si="52"/>
        <v>0</v>
      </c>
      <c r="M121" s="97">
        <f t="shared" si="52"/>
        <v>-200</v>
      </c>
      <c r="N121" s="97">
        <f t="shared" si="52"/>
        <v>-200</v>
      </c>
      <c r="O121" s="97">
        <f t="shared" si="52"/>
        <v>0</v>
      </c>
      <c r="P121" s="97">
        <f t="shared" si="52"/>
        <v>0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outlineLevel="1" x14ac:dyDescent="0.25">
      <c r="A122" s="14"/>
      <c r="B122" s="1"/>
      <c r="C122" s="2"/>
      <c r="D122" s="51"/>
      <c r="E122" s="51"/>
      <c r="F122" s="51"/>
      <c r="G122" s="51"/>
      <c r="H122" s="51"/>
      <c r="I122" s="14"/>
      <c r="J122" s="14"/>
      <c r="K122" s="14"/>
      <c r="L122" s="14"/>
      <c r="M122" s="14"/>
      <c r="N122" s="14"/>
      <c r="O122" s="14"/>
      <c r="P122" s="14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outlineLevel="1" x14ac:dyDescent="0.25">
      <c r="A123" s="1" t="s">
        <v>200</v>
      </c>
      <c r="B123" s="1"/>
      <c r="C123" s="2"/>
      <c r="D123" s="1">
        <f t="shared" ref="D123:P123" si="53">D110+D115+D121</f>
        <v>-2028.8208000000013</v>
      </c>
      <c r="E123" s="1">
        <f t="shared" si="53"/>
        <v>13238.733497877969</v>
      </c>
      <c r="F123" s="1">
        <f t="shared" si="53"/>
        <v>2505.3438851313258</v>
      </c>
      <c r="G123" s="1">
        <f t="shared" si="53"/>
        <v>27354.07902359531</v>
      </c>
      <c r="H123" s="1">
        <f t="shared" si="53"/>
        <v>28480.18475858029</v>
      </c>
      <c r="I123" s="1">
        <f t="shared" si="53"/>
        <v>19924.33510027398</v>
      </c>
      <c r="J123" s="1">
        <f t="shared" si="53"/>
        <v>23099.459455342469</v>
      </c>
      <c r="K123" s="1">
        <f t="shared" si="53"/>
        <v>7937.7204635178059</v>
      </c>
      <c r="L123" s="1">
        <f t="shared" si="53"/>
        <v>33812.388150417319</v>
      </c>
      <c r="M123" s="1">
        <f t="shared" si="53"/>
        <v>36924.120890369391</v>
      </c>
      <c r="N123" s="1">
        <f t="shared" si="53"/>
        <v>42002.842683973664</v>
      </c>
      <c r="O123" s="1">
        <f t="shared" si="53"/>
        <v>64275.825263424966</v>
      </c>
      <c r="P123" s="1">
        <f t="shared" si="53"/>
        <v>64781.772022994453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outlineLevel="1" x14ac:dyDescent="0.25">
      <c r="A124" s="1" t="s">
        <v>201</v>
      </c>
      <c r="B124" s="1"/>
      <c r="C124" s="2"/>
      <c r="D124" s="8">
        <f>D81-D123</f>
        <v>70000</v>
      </c>
      <c r="E124" s="8">
        <f t="shared" ref="E124:N124" si="54">D125</f>
        <v>67971.179199999999</v>
      </c>
      <c r="F124" s="8">
        <f t="shared" si="54"/>
        <v>81209.912697877968</v>
      </c>
      <c r="G124" s="8">
        <f t="shared" si="54"/>
        <v>83715.256583009294</v>
      </c>
      <c r="H124" s="8">
        <f t="shared" si="54"/>
        <v>111069.33560660461</v>
      </c>
      <c r="I124" s="1">
        <f t="shared" si="54"/>
        <v>139549.5203651849</v>
      </c>
      <c r="J124" s="1">
        <f t="shared" si="54"/>
        <v>159473.85546545888</v>
      </c>
      <c r="K124" s="1">
        <f t="shared" si="54"/>
        <v>182573.31492080135</v>
      </c>
      <c r="L124" s="1">
        <f t="shared" si="54"/>
        <v>190511.03538431914</v>
      </c>
      <c r="M124" s="1">
        <f t="shared" si="54"/>
        <v>224323.42353473644</v>
      </c>
      <c r="N124" s="1">
        <f t="shared" si="54"/>
        <v>261247.54442510585</v>
      </c>
      <c r="O124" s="1">
        <v>303250</v>
      </c>
      <c r="P124" s="1">
        <v>367526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outlineLevel="1" x14ac:dyDescent="0.25">
      <c r="A125" s="97" t="s">
        <v>202</v>
      </c>
      <c r="B125" s="94"/>
      <c r="C125" s="100"/>
      <c r="D125" s="97">
        <f t="shared" ref="D125:P125" si="55">SUM(D123:D124)</f>
        <v>67971.179199999999</v>
      </c>
      <c r="E125" s="97">
        <f t="shared" si="55"/>
        <v>81209.912697877968</v>
      </c>
      <c r="F125" s="97">
        <f t="shared" si="55"/>
        <v>83715.256583009294</v>
      </c>
      <c r="G125" s="97">
        <f t="shared" si="55"/>
        <v>111069.33560660461</v>
      </c>
      <c r="H125" s="97">
        <f t="shared" si="55"/>
        <v>139549.5203651849</v>
      </c>
      <c r="I125" s="97">
        <f t="shared" si="55"/>
        <v>159473.85546545888</v>
      </c>
      <c r="J125" s="97">
        <f t="shared" si="55"/>
        <v>182573.31492080135</v>
      </c>
      <c r="K125" s="97">
        <f t="shared" si="55"/>
        <v>190511.03538431914</v>
      </c>
      <c r="L125" s="97">
        <f t="shared" si="55"/>
        <v>224323.42353473644</v>
      </c>
      <c r="M125" s="97">
        <f t="shared" si="55"/>
        <v>261247.54442510585</v>
      </c>
      <c r="N125" s="97">
        <f t="shared" si="55"/>
        <v>303250.38710907951</v>
      </c>
      <c r="O125" s="97">
        <f t="shared" si="55"/>
        <v>367525.82526342495</v>
      </c>
      <c r="P125" s="97">
        <f t="shared" si="55"/>
        <v>432307.77202299447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outlineLevel="1" x14ac:dyDescent="0.25">
      <c r="A126" s="14"/>
      <c r="B126" s="1"/>
      <c r="C126" s="2"/>
      <c r="D126" s="51"/>
      <c r="E126" s="8"/>
      <c r="F126" s="8"/>
      <c r="G126" s="8"/>
      <c r="H126" s="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outlineLevel="1" x14ac:dyDescent="0.25">
      <c r="A127" s="14"/>
      <c r="B127" s="1"/>
      <c r="C127" s="2"/>
      <c r="D127" s="51"/>
      <c r="E127" s="8"/>
      <c r="F127" s="8"/>
      <c r="G127" s="8"/>
      <c r="H127" s="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x14ac:dyDescent="0.25">
      <c r="A128" s="1"/>
      <c r="B128" s="1"/>
      <c r="C128" s="2"/>
      <c r="D128" s="8"/>
      <c r="E128" s="8"/>
      <c r="F128" s="8"/>
      <c r="G128" s="8"/>
      <c r="H128" s="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x14ac:dyDescent="0.35">
      <c r="A129" s="88" t="s">
        <v>203</v>
      </c>
      <c r="B129" s="89"/>
      <c r="C129" s="90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outlineLevel="1" x14ac:dyDescent="0.25">
      <c r="A130" s="1"/>
      <c r="B130" s="1"/>
      <c r="C130" s="2"/>
      <c r="D130" s="8"/>
      <c r="E130" s="8"/>
      <c r="F130" s="8"/>
      <c r="G130" s="8"/>
      <c r="H130" s="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outlineLevel="1" x14ac:dyDescent="0.25">
      <c r="A131" s="14" t="s">
        <v>204</v>
      </c>
      <c r="B131" s="1"/>
      <c r="C131" s="2"/>
      <c r="D131" s="8"/>
      <c r="E131" s="8"/>
      <c r="F131" s="8"/>
      <c r="G131" s="8"/>
      <c r="H131" s="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outlineLevel="1" x14ac:dyDescent="0.25">
      <c r="A132" s="1" t="s">
        <v>98</v>
      </c>
      <c r="B132" s="1"/>
      <c r="C132" s="2"/>
      <c r="D132" s="1">
        <f t="shared" ref="D132:P132" si="56">D82</f>
        <v>5100.3500000000004</v>
      </c>
      <c r="E132" s="1">
        <f t="shared" si="56"/>
        <v>5904.3</v>
      </c>
      <c r="F132" s="1">
        <f t="shared" si="56"/>
        <v>6567.25</v>
      </c>
      <c r="G132" s="1">
        <f t="shared" si="56"/>
        <v>7117.05</v>
      </c>
      <c r="H132" s="1">
        <f t="shared" si="56"/>
        <v>7538.6</v>
      </c>
      <c r="I132" s="1">
        <v>8179</v>
      </c>
      <c r="J132" s="1">
        <f t="shared" si="56"/>
        <v>8996.7511232876732</v>
      </c>
      <c r="K132" s="1">
        <f t="shared" si="56"/>
        <v>9896.42623561644</v>
      </c>
      <c r="L132" s="1">
        <f t="shared" si="56"/>
        <v>10787.10459682192</v>
      </c>
      <c r="M132" s="1">
        <f t="shared" si="56"/>
        <v>11650.072964567677</v>
      </c>
      <c r="N132" s="1">
        <f t="shared" si="56"/>
        <v>12465.578072087414</v>
      </c>
      <c r="O132" s="1">
        <f t="shared" si="56"/>
        <v>13712.135879296153</v>
      </c>
      <c r="P132" s="1">
        <f t="shared" si="56"/>
        <v>15083.349467225771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outlineLevel="1" x14ac:dyDescent="0.25">
      <c r="A133" s="1" t="s">
        <v>99</v>
      </c>
      <c r="B133" s="1"/>
      <c r="C133" s="2"/>
      <c r="D133" s="142">
        <v>7804.6</v>
      </c>
      <c r="E133" s="142">
        <v>9600.8000000000011</v>
      </c>
      <c r="F133" s="142">
        <v>9824.6</v>
      </c>
      <c r="G133" s="142">
        <v>10530.800000000001</v>
      </c>
      <c r="H133" s="142">
        <v>11342</v>
      </c>
      <c r="I133" s="1">
        <f t="shared" ref="I133:P133" si="57">I83</f>
        <v>15267.21402739726</v>
      </c>
      <c r="J133" s="1">
        <f t="shared" si="57"/>
        <v>19343.014915068496</v>
      </c>
      <c r="K133" s="1">
        <f t="shared" si="57"/>
        <v>24191.264131506854</v>
      </c>
      <c r="L133" s="1">
        <f t="shared" si="57"/>
        <v>26967.761492054804</v>
      </c>
      <c r="M133" s="1">
        <f t="shared" si="57"/>
        <v>29772.408687228501</v>
      </c>
      <c r="N133" s="1">
        <f t="shared" si="57"/>
        <v>31856.477295334498</v>
      </c>
      <c r="O133" s="1">
        <f t="shared" si="57"/>
        <v>25595.986974686148</v>
      </c>
      <c r="P133" s="1">
        <f t="shared" si="57"/>
        <v>28155.585672154772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outlineLevel="1" x14ac:dyDescent="0.25">
      <c r="A134" s="1" t="s">
        <v>106</v>
      </c>
      <c r="B134" s="1"/>
      <c r="C134" s="2"/>
      <c r="D134" s="142">
        <v>3902.3</v>
      </c>
      <c r="E134" s="142">
        <v>4800.4000000000005</v>
      </c>
      <c r="F134" s="142">
        <v>4912.3</v>
      </c>
      <c r="G134" s="142">
        <v>5265.4000000000005</v>
      </c>
      <c r="H134" s="142">
        <v>5671</v>
      </c>
      <c r="I134" s="1">
        <f t="shared" ref="I134:P134" si="58">I91</f>
        <v>7061.086487671233</v>
      </c>
      <c r="J134" s="1">
        <f t="shared" si="58"/>
        <v>7952.1283539726046</v>
      </c>
      <c r="K134" s="1">
        <f t="shared" si="58"/>
        <v>8950.7677286575363</v>
      </c>
      <c r="L134" s="1">
        <f t="shared" si="58"/>
        <v>9978.0717520602775</v>
      </c>
      <c r="M134" s="1">
        <f t="shared" si="58"/>
        <v>11015.791214274544</v>
      </c>
      <c r="N134" s="1">
        <f t="shared" si="58"/>
        <v>11786.896599273763</v>
      </c>
      <c r="O134" s="1">
        <f t="shared" si="58"/>
        <v>11838.143975792345</v>
      </c>
      <c r="P134" s="1">
        <f t="shared" si="58"/>
        <v>13021.958373371581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outlineLevel="1" x14ac:dyDescent="0.25">
      <c r="A135" s="94" t="s">
        <v>205</v>
      </c>
      <c r="B135" s="94"/>
      <c r="C135" s="100"/>
      <c r="D135" s="94">
        <f t="shared" ref="D135:P135" si="59">D132+D133-D134</f>
        <v>9002.6500000000015</v>
      </c>
      <c r="E135" s="94">
        <f t="shared" si="59"/>
        <v>10704.7</v>
      </c>
      <c r="F135" s="94">
        <f t="shared" si="59"/>
        <v>11479.55</v>
      </c>
      <c r="G135" s="94">
        <f t="shared" si="59"/>
        <v>12382.45</v>
      </c>
      <c r="H135" s="94">
        <f t="shared" si="59"/>
        <v>13209.599999999999</v>
      </c>
      <c r="I135" s="94">
        <f t="shared" si="59"/>
        <v>16385.127539726029</v>
      </c>
      <c r="J135" s="94">
        <f t="shared" si="59"/>
        <v>20387.637684383561</v>
      </c>
      <c r="K135" s="94">
        <f t="shared" si="59"/>
        <v>25136.92263846576</v>
      </c>
      <c r="L135" s="94">
        <f t="shared" si="59"/>
        <v>27776.794336816449</v>
      </c>
      <c r="M135" s="94">
        <f t="shared" si="59"/>
        <v>30406.690437521629</v>
      </c>
      <c r="N135" s="94">
        <f t="shared" si="59"/>
        <v>32535.158768148147</v>
      </c>
      <c r="O135" s="94">
        <f t="shared" si="59"/>
        <v>27469.978878189955</v>
      </c>
      <c r="P135" s="94">
        <f t="shared" si="59"/>
        <v>30216.97676600896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outlineLevel="1" x14ac:dyDescent="0.25">
      <c r="A136" s="1" t="s">
        <v>206</v>
      </c>
      <c r="B136" s="1"/>
      <c r="C136" s="2"/>
      <c r="D136" s="1">
        <f t="shared" ref="D136" si="60">D135-C135</f>
        <v>9002.6500000000015</v>
      </c>
      <c r="E136" s="1">
        <f t="shared" ref="E136" si="61">E135-D135</f>
        <v>1702.0499999999993</v>
      </c>
      <c r="F136" s="1">
        <f t="shared" ref="F136" si="62">F135-E135</f>
        <v>774.84999999999854</v>
      </c>
      <c r="G136" s="1">
        <f t="shared" ref="G136" si="63">G135-F135</f>
        <v>902.90000000000146</v>
      </c>
      <c r="H136" s="1">
        <f t="shared" ref="H136" si="64">H135-G135</f>
        <v>827.14999999999782</v>
      </c>
      <c r="I136" s="1">
        <f t="shared" ref="I136" si="65">I135-H135</f>
        <v>3175.5275397260302</v>
      </c>
      <c r="J136" s="1">
        <f t="shared" ref="J136" si="66">J135-I135</f>
        <v>4002.5101446575318</v>
      </c>
      <c r="K136" s="1">
        <f t="shared" ref="K136" si="67">K135-J135</f>
        <v>4749.284954082199</v>
      </c>
      <c r="L136" s="1">
        <f t="shared" ref="L136" si="68">L135-K135</f>
        <v>2639.8716983506893</v>
      </c>
      <c r="M136" s="1">
        <f t="shared" ref="M136" si="69">M135-L135</f>
        <v>2629.8961007051803</v>
      </c>
      <c r="N136" s="1">
        <f t="shared" ref="N136" si="70">N135-M135</f>
        <v>2128.4683306265179</v>
      </c>
      <c r="O136" s="1">
        <f t="shared" ref="O136" si="71">O135-N135</f>
        <v>-5065.1798899581918</v>
      </c>
      <c r="P136" s="1">
        <f t="shared" ref="P136" si="72">P135-O135</f>
        <v>2746.997887819005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outlineLevel="1" x14ac:dyDescent="0.25">
      <c r="A137" s="1"/>
      <c r="B137" s="1"/>
      <c r="C137" s="2"/>
      <c r="D137" s="8"/>
      <c r="E137" s="8"/>
      <c r="F137" s="8"/>
      <c r="G137" s="8"/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outlineLevel="1" x14ac:dyDescent="0.25">
      <c r="A138" s="14" t="s">
        <v>207</v>
      </c>
      <c r="B138" s="1"/>
      <c r="C138" s="2"/>
      <c r="D138" s="8"/>
      <c r="E138" s="8"/>
      <c r="F138" s="8"/>
      <c r="G138" s="8"/>
      <c r="H138" s="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outlineLevel="1" x14ac:dyDescent="0.25">
      <c r="A139" s="1" t="s">
        <v>208</v>
      </c>
      <c r="B139" s="1"/>
      <c r="C139" s="2"/>
      <c r="D139" s="175">
        <v>50000</v>
      </c>
      <c r="E139" s="1">
        <f t="shared" ref="E139:N139" si="73">D142</f>
        <v>45500</v>
      </c>
      <c r="F139" s="1">
        <f t="shared" si="73"/>
        <v>42350</v>
      </c>
      <c r="G139" s="1">
        <f t="shared" si="73"/>
        <v>40145</v>
      </c>
      <c r="H139" s="1">
        <f t="shared" si="73"/>
        <v>38601.5</v>
      </c>
      <c r="I139" s="1">
        <f t="shared" si="73"/>
        <v>37521.050000000003</v>
      </c>
      <c r="J139" s="1">
        <f t="shared" si="73"/>
        <v>45016.840000000004</v>
      </c>
      <c r="K139" s="1">
        <f t="shared" si="73"/>
        <v>51013.472000000002</v>
      </c>
      <c r="L139" s="1">
        <f t="shared" si="73"/>
        <v>55810.777600000009</v>
      </c>
      <c r="M139" s="1">
        <f t="shared" si="73"/>
        <v>59648.622080000001</v>
      </c>
      <c r="N139" s="1">
        <f t="shared" si="73"/>
        <v>62718.897664000004</v>
      </c>
      <c r="O139" s="1">
        <v>65175</v>
      </c>
      <c r="P139" s="1">
        <f>+O142</f>
        <v>67140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outlineLevel="1" x14ac:dyDescent="0.25">
      <c r="A140" s="1" t="s">
        <v>209</v>
      </c>
      <c r="B140" s="1"/>
      <c r="C140" s="2"/>
      <c r="D140" s="1">
        <v>15000</v>
      </c>
      <c r="E140" s="1">
        <v>15000</v>
      </c>
      <c r="F140" s="1">
        <v>15000</v>
      </c>
      <c r="G140" s="1">
        <v>15000</v>
      </c>
      <c r="H140" s="1">
        <v>15000</v>
      </c>
      <c r="I140" s="1">
        <f t="shared" ref="I140:N140" si="74">I55</f>
        <v>15000</v>
      </c>
      <c r="J140" s="1">
        <f t="shared" si="74"/>
        <v>15000</v>
      </c>
      <c r="K140" s="1">
        <f t="shared" si="74"/>
        <v>15000</v>
      </c>
      <c r="L140" s="1">
        <f t="shared" si="74"/>
        <v>15000</v>
      </c>
      <c r="M140" s="1">
        <f t="shared" si="74"/>
        <v>15000</v>
      </c>
      <c r="N140" s="1">
        <f t="shared" si="74"/>
        <v>15000</v>
      </c>
      <c r="O140" s="1">
        <f t="shared" ref="O140:P140" si="75">+$I140*O$6</f>
        <v>15000</v>
      </c>
      <c r="P140" s="1">
        <f t="shared" si="75"/>
        <v>15000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outlineLevel="1" x14ac:dyDescent="0.25">
      <c r="A141" s="1" t="s">
        <v>210</v>
      </c>
      <c r="B141" s="1"/>
      <c r="C141" s="61"/>
      <c r="D141" s="141">
        <v>19500</v>
      </c>
      <c r="E141" s="141">
        <v>18150</v>
      </c>
      <c r="F141" s="141">
        <v>17205</v>
      </c>
      <c r="G141" s="141">
        <v>16543.5</v>
      </c>
      <c r="H141" s="141">
        <v>16080.449999999999</v>
      </c>
      <c r="I141" s="60">
        <f t="shared" ref="I141:N141" si="76">I139*I49</f>
        <v>7504.2100000000009</v>
      </c>
      <c r="J141" s="60">
        <f t="shared" si="76"/>
        <v>9003.3680000000004</v>
      </c>
      <c r="K141" s="60">
        <f t="shared" si="76"/>
        <v>10202.6944</v>
      </c>
      <c r="L141" s="60">
        <f t="shared" si="76"/>
        <v>11162.155520000002</v>
      </c>
      <c r="M141" s="60">
        <f t="shared" si="76"/>
        <v>11929.724416000001</v>
      </c>
      <c r="N141" s="60">
        <f t="shared" si="76"/>
        <v>12543.779532800001</v>
      </c>
      <c r="O141" s="1">
        <f>O139*O49</f>
        <v>13035</v>
      </c>
      <c r="P141" s="1">
        <f>P139*P49</f>
        <v>13428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outlineLevel="1" x14ac:dyDescent="0.25">
      <c r="A142" s="94" t="s">
        <v>211</v>
      </c>
      <c r="B142" s="94"/>
      <c r="C142" s="100"/>
      <c r="D142" s="94">
        <f t="shared" ref="D142:P142" si="77">D139+D140-D141</f>
        <v>45500</v>
      </c>
      <c r="E142" s="94">
        <f t="shared" si="77"/>
        <v>42350</v>
      </c>
      <c r="F142" s="94">
        <f t="shared" si="77"/>
        <v>40145</v>
      </c>
      <c r="G142" s="94">
        <f t="shared" si="77"/>
        <v>38601.5</v>
      </c>
      <c r="H142" s="94">
        <f t="shared" si="77"/>
        <v>37521.050000000003</v>
      </c>
      <c r="I142" s="94">
        <f t="shared" si="77"/>
        <v>45016.840000000004</v>
      </c>
      <c r="J142" s="94">
        <f t="shared" si="77"/>
        <v>51013.472000000002</v>
      </c>
      <c r="K142" s="94">
        <f t="shared" si="77"/>
        <v>55810.777600000009</v>
      </c>
      <c r="L142" s="94">
        <f t="shared" si="77"/>
        <v>59648.622080000001</v>
      </c>
      <c r="M142" s="94">
        <f t="shared" si="77"/>
        <v>62718.897664000004</v>
      </c>
      <c r="N142" s="94">
        <f t="shared" si="77"/>
        <v>65175.118131200004</v>
      </c>
      <c r="O142" s="94">
        <f t="shared" si="77"/>
        <v>67140</v>
      </c>
      <c r="P142" s="94">
        <f t="shared" si="77"/>
        <v>68712</v>
      </c>
      <c r="Q142" s="1" t="s">
        <v>268</v>
      </c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outlineLevel="1" x14ac:dyDescent="0.25">
      <c r="A143" s="1"/>
      <c r="B143" s="1"/>
      <c r="C143" s="2"/>
      <c r="D143" s="8"/>
      <c r="E143" s="8"/>
      <c r="F143" s="8"/>
      <c r="G143" s="8"/>
      <c r="H143" s="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outlineLevel="1" x14ac:dyDescent="0.25">
      <c r="A144" s="14" t="s">
        <v>269</v>
      </c>
      <c r="B144" s="1"/>
      <c r="C144" s="2"/>
      <c r="D144" s="8"/>
      <c r="E144" s="8"/>
      <c r="F144" s="8"/>
      <c r="G144" s="8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outlineLevel="1" x14ac:dyDescent="0.25">
      <c r="A145" s="1" t="s">
        <v>270</v>
      </c>
      <c r="B145" s="1"/>
      <c r="C145" s="2"/>
      <c r="D145" s="8">
        <v>50000</v>
      </c>
      <c r="E145" s="1">
        <f t="shared" ref="E145:N145" si="78">D147</f>
        <v>50000</v>
      </c>
      <c r="F145" s="1">
        <f t="shared" si="78"/>
        <v>50000</v>
      </c>
      <c r="G145" s="1">
        <f t="shared" si="78"/>
        <v>30000</v>
      </c>
      <c r="H145" s="1">
        <f t="shared" si="78"/>
        <v>30000</v>
      </c>
      <c r="I145" s="1">
        <f t="shared" si="78"/>
        <v>30000</v>
      </c>
      <c r="J145" s="1">
        <f t="shared" si="78"/>
        <v>30000</v>
      </c>
      <c r="K145" s="1">
        <f t="shared" si="78"/>
        <v>30000</v>
      </c>
      <c r="L145" s="1">
        <f t="shared" si="78"/>
        <v>10000</v>
      </c>
      <c r="M145" s="1">
        <f t="shared" si="78"/>
        <v>10000</v>
      </c>
      <c r="N145" s="1">
        <f t="shared" si="78"/>
        <v>10000</v>
      </c>
      <c r="O145" s="1">
        <v>10000</v>
      </c>
      <c r="P145" s="1">
        <f>+O147</f>
        <v>10000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outlineLevel="1" x14ac:dyDescent="0.25">
      <c r="A146" s="1" t="s">
        <v>271</v>
      </c>
      <c r="B146" s="1"/>
      <c r="C146" s="2"/>
      <c r="D146" s="1">
        <f t="shared" ref="D146:N146" si="79">D56</f>
        <v>0</v>
      </c>
      <c r="E146" s="1">
        <f t="shared" si="79"/>
        <v>0</v>
      </c>
      <c r="F146" s="8">
        <v>-20000</v>
      </c>
      <c r="G146" s="1">
        <f t="shared" si="79"/>
        <v>0</v>
      </c>
      <c r="H146" s="1">
        <f t="shared" si="79"/>
        <v>0</v>
      </c>
      <c r="I146" s="1">
        <f t="shared" si="79"/>
        <v>0</v>
      </c>
      <c r="J146" s="1">
        <f t="shared" si="79"/>
        <v>0</v>
      </c>
      <c r="K146" s="1">
        <f t="shared" si="79"/>
        <v>-20000</v>
      </c>
      <c r="L146" s="1">
        <f t="shared" si="79"/>
        <v>0</v>
      </c>
      <c r="M146" s="1">
        <f t="shared" si="79"/>
        <v>0</v>
      </c>
      <c r="N146" s="1">
        <f t="shared" si="79"/>
        <v>0</v>
      </c>
      <c r="O146" s="1">
        <f t="shared" ref="O146:P146" si="80">+$I146*O$6</f>
        <v>0</v>
      </c>
      <c r="P146" s="1">
        <f t="shared" si="80"/>
        <v>0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outlineLevel="1" x14ac:dyDescent="0.25">
      <c r="A147" s="94" t="s">
        <v>272</v>
      </c>
      <c r="B147" s="94"/>
      <c r="C147" s="100"/>
      <c r="D147" s="94">
        <f t="shared" ref="D147:P147" si="81">SUM(D145:D146)</f>
        <v>50000</v>
      </c>
      <c r="E147" s="94">
        <f t="shared" si="81"/>
        <v>50000</v>
      </c>
      <c r="F147" s="94">
        <f t="shared" si="81"/>
        <v>30000</v>
      </c>
      <c r="G147" s="94">
        <f t="shared" si="81"/>
        <v>30000</v>
      </c>
      <c r="H147" s="94">
        <f t="shared" si="81"/>
        <v>30000</v>
      </c>
      <c r="I147" s="94">
        <f t="shared" si="81"/>
        <v>30000</v>
      </c>
      <c r="J147" s="94">
        <f t="shared" si="81"/>
        <v>30000</v>
      </c>
      <c r="K147" s="94">
        <f t="shared" si="81"/>
        <v>10000</v>
      </c>
      <c r="L147" s="94">
        <f t="shared" si="81"/>
        <v>10000</v>
      </c>
      <c r="M147" s="94">
        <f t="shared" si="81"/>
        <v>10000</v>
      </c>
      <c r="N147" s="94">
        <f t="shared" si="81"/>
        <v>10000</v>
      </c>
      <c r="O147" s="94">
        <f t="shared" si="81"/>
        <v>10000</v>
      </c>
      <c r="P147" s="94">
        <f t="shared" si="81"/>
        <v>10000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outlineLevel="1" x14ac:dyDescent="0.25">
      <c r="A148" s="1" t="s">
        <v>273</v>
      </c>
      <c r="B148" s="1"/>
      <c r="C148" s="61"/>
      <c r="D148" s="149">
        <v>2500</v>
      </c>
      <c r="E148" s="149">
        <v>2500</v>
      </c>
      <c r="F148" s="149">
        <v>1500</v>
      </c>
      <c r="G148" s="149">
        <v>1500</v>
      </c>
      <c r="H148" s="149">
        <v>1500</v>
      </c>
      <c r="I148" s="1">
        <f t="shared" ref="I148:N148" si="82">I147*I50</f>
        <v>3000</v>
      </c>
      <c r="J148" s="1">
        <f t="shared" si="82"/>
        <v>3000</v>
      </c>
      <c r="K148" s="1">
        <f t="shared" si="82"/>
        <v>1000</v>
      </c>
      <c r="L148" s="1">
        <f t="shared" si="82"/>
        <v>1000</v>
      </c>
      <c r="M148" s="1">
        <f t="shared" si="82"/>
        <v>1000</v>
      </c>
      <c r="N148" s="1">
        <f t="shared" si="82"/>
        <v>1000</v>
      </c>
      <c r="O148" s="1">
        <f>O147*O50</f>
        <v>1000</v>
      </c>
      <c r="P148" s="1">
        <f>P147*P50</f>
        <v>1000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outlineLevel="1" x14ac:dyDescent="0.25">
      <c r="A149" s="1"/>
      <c r="B149" s="1"/>
      <c r="C149" s="2"/>
      <c r="D149" s="8"/>
      <c r="E149" s="8"/>
      <c r="F149" s="8"/>
      <c r="G149" s="8"/>
      <c r="H149" s="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outlineLevel="1" x14ac:dyDescent="0.25">
      <c r="A150" s="1"/>
      <c r="B150" s="1"/>
      <c r="C150" s="2"/>
      <c r="D150" s="8"/>
      <c r="E150" s="8"/>
      <c r="F150" s="8"/>
      <c r="G150" s="8"/>
      <c r="H150" s="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x14ac:dyDescent="0.25">
      <c r="A151" s="1"/>
      <c r="B151" s="1"/>
      <c r="C151" s="2"/>
      <c r="D151" s="8"/>
      <c r="E151" s="8"/>
      <c r="F151" s="8"/>
      <c r="G151" s="8"/>
      <c r="H151" s="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x14ac:dyDescent="0.35">
      <c r="A152" s="88" t="s">
        <v>138</v>
      </c>
      <c r="B152" s="89"/>
      <c r="C152" s="90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outlineLevel="1" x14ac:dyDescent="0.25">
      <c r="A153" s="14"/>
      <c r="B153" s="1"/>
      <c r="C153" s="2"/>
      <c r="D153" s="8"/>
      <c r="E153" s="8"/>
      <c r="F153" s="8"/>
      <c r="G153" s="8"/>
      <c r="H153" s="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outlineLevel="1" x14ac:dyDescent="0.25">
      <c r="A154" s="14" t="s">
        <v>0</v>
      </c>
      <c r="B154" s="8"/>
      <c r="C154" s="8"/>
      <c r="D154" s="8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outlineLevel="1" x14ac:dyDescent="0.25">
      <c r="A155" s="94" t="s">
        <v>223</v>
      </c>
      <c r="B155" s="95"/>
      <c r="C155" s="131"/>
      <c r="D155" s="144">
        <v>0.25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outlineLevel="1" x14ac:dyDescent="0.25">
      <c r="A156" s="1" t="s">
        <v>224</v>
      </c>
      <c r="B156" s="1"/>
      <c r="C156" s="41"/>
      <c r="D156" s="145">
        <v>0.12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outlineLevel="1" x14ac:dyDescent="0.25">
      <c r="A157" s="1" t="s">
        <v>225</v>
      </c>
      <c r="B157" s="1"/>
      <c r="C157" s="41"/>
      <c r="D157" s="145">
        <v>0.04</v>
      </c>
      <c r="E157" s="1"/>
      <c r="F157" s="1"/>
      <c r="G157" s="1"/>
      <c r="H157" s="1"/>
      <c r="I157" s="1"/>
      <c r="J157" s="61"/>
      <c r="K157" s="61"/>
      <c r="L157" s="61"/>
      <c r="M157" s="61"/>
      <c r="N157" s="6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outlineLevel="1" x14ac:dyDescent="0.25">
      <c r="A158" s="1" t="s">
        <v>226</v>
      </c>
      <c r="B158" s="1"/>
      <c r="C158" s="68"/>
      <c r="D158" s="146">
        <v>8</v>
      </c>
      <c r="E158" s="1"/>
      <c r="F158" s="1"/>
      <c r="G158" s="1"/>
      <c r="H158" s="1"/>
      <c r="I158" s="1"/>
      <c r="J158" s="61"/>
      <c r="K158" s="61"/>
      <c r="L158" s="61"/>
      <c r="M158" s="61"/>
      <c r="N158" s="6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outlineLevel="1" x14ac:dyDescent="0.25">
      <c r="A159" s="1" t="s">
        <v>227</v>
      </c>
      <c r="B159" s="1"/>
      <c r="C159" s="69">
        <f>'M&amp;A Assumptions &amp; Analysis'!D8</f>
        <v>11.75</v>
      </c>
      <c r="D159" s="1"/>
      <c r="E159" s="1"/>
      <c r="F159" s="1"/>
      <c r="G159" s="1"/>
      <c r="H159" s="1"/>
      <c r="I159" s="1"/>
      <c r="J159" s="61"/>
      <c r="K159" s="61"/>
      <c r="L159" s="61"/>
      <c r="M159" s="61"/>
      <c r="N159" s="6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outlineLevel="1" x14ac:dyDescent="0.25">
      <c r="A160" s="1" t="s">
        <v>148</v>
      </c>
      <c r="B160" s="1"/>
      <c r="C160" s="70">
        <f>'M&amp;A Assumptions &amp; Analysis'!D22</f>
        <v>50000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outlineLevel="1" x14ac:dyDescent="0.25">
      <c r="A161" s="1"/>
      <c r="B161" s="1"/>
      <c r="C161" s="7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outlineLevel="1" x14ac:dyDescent="0.25">
      <c r="A162" s="1"/>
      <c r="B162" s="1"/>
      <c r="C162" s="15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outlineLevel="1" x14ac:dyDescent="0.25">
      <c r="A163" s="14" t="s">
        <v>228</v>
      </c>
      <c r="B163" s="1"/>
      <c r="C163" s="28" t="s">
        <v>229</v>
      </c>
      <c r="D163" s="72">
        <f>I2</f>
        <v>2025</v>
      </c>
      <c r="E163" s="73">
        <f t="shared" ref="E163:I163" si="83">+D163+1</f>
        <v>2026</v>
      </c>
      <c r="F163" s="73">
        <f t="shared" si="83"/>
        <v>2027</v>
      </c>
      <c r="G163" s="73">
        <f t="shared" si="83"/>
        <v>2028</v>
      </c>
      <c r="H163" s="73">
        <f t="shared" si="83"/>
        <v>2029</v>
      </c>
      <c r="I163" s="73">
        <f t="shared" si="83"/>
        <v>2030</v>
      </c>
      <c r="J163" s="28" t="s">
        <v>230</v>
      </c>
      <c r="K163" s="1"/>
      <c r="L163" s="14" t="s">
        <v>231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outlineLevel="1" x14ac:dyDescent="0.25">
      <c r="A164" s="132" t="s">
        <v>232</v>
      </c>
      <c r="B164" s="132"/>
      <c r="C164" s="133">
        <f>'M&amp;A Assumptions &amp; Analysis'!$D$10</f>
        <v>45838</v>
      </c>
      <c r="D164" s="134">
        <f t="shared" ref="D164:I164" si="84">DATE(D163,12,31)</f>
        <v>46022</v>
      </c>
      <c r="E164" s="134">
        <f t="shared" si="84"/>
        <v>46387</v>
      </c>
      <c r="F164" s="134">
        <f t="shared" si="84"/>
        <v>46752</v>
      </c>
      <c r="G164" s="134">
        <f t="shared" si="84"/>
        <v>47118</v>
      </c>
      <c r="H164" s="134">
        <f t="shared" si="84"/>
        <v>47483</v>
      </c>
      <c r="I164" s="134">
        <f t="shared" si="84"/>
        <v>47848</v>
      </c>
      <c r="J164" s="134">
        <f>I164</f>
        <v>47848</v>
      </c>
      <c r="K164" s="1"/>
      <c r="L164" s="94" t="s">
        <v>233</v>
      </c>
      <c r="M164" s="94"/>
      <c r="N164" s="135">
        <f>C180/I171</f>
        <v>9.5537716243541784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outlineLevel="1" x14ac:dyDescent="0.25">
      <c r="A165" s="25" t="s">
        <v>274</v>
      </c>
      <c r="B165" s="25"/>
      <c r="C165" s="25"/>
      <c r="D165" s="74">
        <v>0.5</v>
      </c>
      <c r="E165" s="74">
        <f t="shared" ref="E165:I165" si="85">YEARFRAC(D164,E164)</f>
        <v>1</v>
      </c>
      <c r="F165" s="74">
        <f t="shared" si="85"/>
        <v>1</v>
      </c>
      <c r="G165" s="74">
        <f t="shared" si="85"/>
        <v>1</v>
      </c>
      <c r="H165" s="74">
        <f t="shared" si="85"/>
        <v>1</v>
      </c>
      <c r="I165" s="74">
        <f t="shared" si="85"/>
        <v>1</v>
      </c>
      <c r="J165" s="74">
        <f>H165</f>
        <v>1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outlineLevel="1" x14ac:dyDescent="0.25">
      <c r="A166" s="25"/>
      <c r="B166" s="25"/>
      <c r="C166" s="25"/>
      <c r="D166" s="74"/>
      <c r="E166" s="74"/>
      <c r="F166" s="74"/>
      <c r="G166" s="74"/>
      <c r="H166" s="74"/>
      <c r="I166" s="74"/>
      <c r="J166" s="36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outlineLevel="1" x14ac:dyDescent="0.25">
      <c r="A167" s="1" t="s">
        <v>234</v>
      </c>
      <c r="B167" s="1"/>
      <c r="C167" s="1"/>
      <c r="D167" s="1">
        <f t="shared" ref="D167:I167" si="86">I72+I70</f>
        <v>45493.962000000007</v>
      </c>
      <c r="E167" s="1">
        <f t="shared" si="86"/>
        <v>48970.28</v>
      </c>
      <c r="F167" s="1">
        <f t="shared" si="86"/>
        <v>53061.54308000001</v>
      </c>
      <c r="G167" s="1">
        <f t="shared" si="86"/>
        <v>56958.478234400012</v>
      </c>
      <c r="H167" s="1">
        <f t="shared" si="86"/>
        <v>60478.184132048016</v>
      </c>
      <c r="I167" s="1">
        <f t="shared" si="86"/>
        <v>65982.682613611367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outlineLevel="1" x14ac:dyDescent="0.25">
      <c r="A168" s="1" t="s">
        <v>235</v>
      </c>
      <c r="B168" s="1"/>
      <c r="C168" s="1"/>
      <c r="D168" s="60">
        <f>D167*25%</f>
        <v>11373.490500000002</v>
      </c>
      <c r="E168" s="60">
        <f t="shared" ref="E168:I168" si="87">E167*25%</f>
        <v>12242.57</v>
      </c>
      <c r="F168" s="60">
        <f t="shared" si="87"/>
        <v>13265.385770000003</v>
      </c>
      <c r="G168" s="60">
        <f t="shared" si="87"/>
        <v>14239.619558600003</v>
      </c>
      <c r="H168" s="60">
        <f t="shared" si="87"/>
        <v>15119.546033012004</v>
      </c>
      <c r="I168" s="60">
        <f t="shared" si="87"/>
        <v>16495.670653402842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outlineLevel="1" x14ac:dyDescent="0.25">
      <c r="A169" s="94" t="s">
        <v>236</v>
      </c>
      <c r="B169" s="94"/>
      <c r="C169" s="94"/>
      <c r="D169" s="135">
        <f t="shared" ref="D169:I169" si="88">D167-D168</f>
        <v>34120.471500000007</v>
      </c>
      <c r="E169" s="135">
        <f t="shared" si="88"/>
        <v>36727.71</v>
      </c>
      <c r="F169" s="135">
        <f t="shared" si="88"/>
        <v>39796.15731000001</v>
      </c>
      <c r="G169" s="135">
        <f t="shared" si="88"/>
        <v>42718.858675800009</v>
      </c>
      <c r="H169" s="135">
        <f t="shared" si="88"/>
        <v>45358.638099036012</v>
      </c>
      <c r="I169" s="135">
        <f t="shared" si="88"/>
        <v>49487.011960208525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outlineLevel="1" x14ac:dyDescent="0.25">
      <c r="A170" s="1" t="s">
        <v>237</v>
      </c>
      <c r="B170" s="1"/>
      <c r="C170" s="1"/>
      <c r="D170" s="60">
        <f t="shared" ref="D170:I170" si="89">+I108</f>
        <v>7504.2100000000009</v>
      </c>
      <c r="E170" s="60">
        <f t="shared" si="89"/>
        <v>9003.3680000000004</v>
      </c>
      <c r="F170" s="60">
        <f t="shared" si="89"/>
        <v>10202.6944</v>
      </c>
      <c r="G170" s="60">
        <f t="shared" si="89"/>
        <v>11162.155520000002</v>
      </c>
      <c r="H170" s="60">
        <f t="shared" si="89"/>
        <v>11929.724416000001</v>
      </c>
      <c r="I170" s="60">
        <f t="shared" si="89"/>
        <v>12543.779532800001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outlineLevel="1" x14ac:dyDescent="0.25">
      <c r="A171" s="1" t="s">
        <v>238</v>
      </c>
      <c r="B171" s="1"/>
      <c r="C171" s="1"/>
      <c r="D171" s="60">
        <f t="shared" ref="D171:I171" si="90">D167+D170</f>
        <v>52998.172000000006</v>
      </c>
      <c r="E171" s="60">
        <f t="shared" si="90"/>
        <v>57973.648000000001</v>
      </c>
      <c r="F171" s="60">
        <f t="shared" si="90"/>
        <v>63264.237480000011</v>
      </c>
      <c r="G171" s="60">
        <f t="shared" si="90"/>
        <v>68120.633754400013</v>
      </c>
      <c r="H171" s="60">
        <f t="shared" si="90"/>
        <v>72407.908548048013</v>
      </c>
      <c r="I171" s="60">
        <f t="shared" si="90"/>
        <v>78526.462146411373</v>
      </c>
      <c r="J171" s="1"/>
      <c r="K171" s="1">
        <f>SUM(D171:I171)</f>
        <v>393291.06192885939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outlineLevel="1" x14ac:dyDescent="0.25">
      <c r="A172" s="1" t="s">
        <v>239</v>
      </c>
      <c r="B172" s="1"/>
      <c r="C172" s="1"/>
      <c r="D172" s="1">
        <f t="shared" ref="D172:I172" si="91">-I113</f>
        <v>15000</v>
      </c>
      <c r="E172" s="1">
        <f t="shared" si="91"/>
        <v>15000</v>
      </c>
      <c r="F172" s="1">
        <f t="shared" si="91"/>
        <v>15000</v>
      </c>
      <c r="G172" s="1">
        <f t="shared" si="91"/>
        <v>15000</v>
      </c>
      <c r="H172" s="1">
        <f t="shared" si="91"/>
        <v>15000</v>
      </c>
      <c r="I172" s="1">
        <f t="shared" si="91"/>
        <v>15000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outlineLevel="1" x14ac:dyDescent="0.25">
      <c r="A173" s="1" t="s">
        <v>240</v>
      </c>
      <c r="B173" s="1"/>
      <c r="C173" s="1"/>
      <c r="D173" s="1">
        <f t="shared" ref="D173:I173" si="92">I136</f>
        <v>3175.5275397260302</v>
      </c>
      <c r="E173" s="1">
        <f t="shared" si="92"/>
        <v>4002.5101446575318</v>
      </c>
      <c r="F173" s="1">
        <f t="shared" si="92"/>
        <v>4749.284954082199</v>
      </c>
      <c r="G173" s="1">
        <f t="shared" si="92"/>
        <v>2639.8716983506893</v>
      </c>
      <c r="H173" s="1">
        <f t="shared" si="92"/>
        <v>2629.8961007051803</v>
      </c>
      <c r="I173" s="1">
        <f t="shared" si="92"/>
        <v>2128.4683306265179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outlineLevel="1" x14ac:dyDescent="0.25">
      <c r="A174" s="97" t="s">
        <v>241</v>
      </c>
      <c r="B174" s="97"/>
      <c r="C174" s="97"/>
      <c r="D174" s="97">
        <f t="shared" ref="D174:I174" si="93">D169+D170-D172-D173</f>
        <v>23449.153960273976</v>
      </c>
      <c r="E174" s="97">
        <f t="shared" si="93"/>
        <v>26728.56785534247</v>
      </c>
      <c r="F174" s="97">
        <f t="shared" si="93"/>
        <v>30249.566755917811</v>
      </c>
      <c r="G174" s="97">
        <f t="shared" si="93"/>
        <v>36241.14249744932</v>
      </c>
      <c r="H174" s="97">
        <f t="shared" si="93"/>
        <v>39658.466414330833</v>
      </c>
      <c r="I174" s="97">
        <f t="shared" si="93"/>
        <v>44902.323162382003</v>
      </c>
      <c r="J174" s="97">
        <f>N164</f>
        <v>9.5537716243541784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outlineLevel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outlineLevel="1" x14ac:dyDescent="0.25">
      <c r="A176" s="14" t="s">
        <v>242</v>
      </c>
      <c r="B176" s="14"/>
      <c r="C176" s="14">
        <v>0</v>
      </c>
      <c r="D176" s="14">
        <f t="shared" ref="D176:J176" si="94">D174*D165</f>
        <v>11724.576980136988</v>
      </c>
      <c r="E176" s="14">
        <f t="shared" si="94"/>
        <v>26728.56785534247</v>
      </c>
      <c r="F176" s="14">
        <f t="shared" si="94"/>
        <v>30249.566755917811</v>
      </c>
      <c r="G176" s="14">
        <f t="shared" si="94"/>
        <v>36241.14249744932</v>
      </c>
      <c r="H176" s="14">
        <f t="shared" si="94"/>
        <v>39658.466414330833</v>
      </c>
      <c r="I176" s="14">
        <f t="shared" si="94"/>
        <v>44902.323162382003</v>
      </c>
      <c r="J176" s="14">
        <f t="shared" si="94"/>
        <v>9.5537716243541784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outlineLevel="1" x14ac:dyDescent="0.25">
      <c r="A177" s="147" t="s">
        <v>277</v>
      </c>
      <c r="B177" s="1"/>
      <c r="C177" s="1"/>
      <c r="D177" s="1">
        <f>D176/(1.12)^1</f>
        <v>10468.372303693739</v>
      </c>
      <c r="E177" s="1">
        <f>E176/(1.12)^2</f>
        <v>21307.850649986023</v>
      </c>
      <c r="F177" s="1">
        <f>F176/(1.12)^3</f>
        <v>21531.044121775496</v>
      </c>
      <c r="G177" s="1">
        <f>G176/(1.12)^4</f>
        <v>23031.901239174655</v>
      </c>
      <c r="H177" s="1">
        <f>H176/(1.12)^5</f>
        <v>22503.278900105415</v>
      </c>
      <c r="I177" s="1">
        <f>I176/(1.12)^6</f>
        <v>22748.914327223971</v>
      </c>
      <c r="J177" s="1"/>
      <c r="K177" s="1">
        <f>SUM(D177:I177)</f>
        <v>121591.3615419593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outlineLevel="1" x14ac:dyDescent="0.25">
      <c r="A178" s="14" t="s">
        <v>243</v>
      </c>
      <c r="B178" s="14"/>
      <c r="C178" s="14">
        <f>-G186</f>
        <v>-229974.17473657505</v>
      </c>
      <c r="D178" s="14">
        <f t="shared" ref="D178:J178" si="95">D176</f>
        <v>11724.576980136988</v>
      </c>
      <c r="E178" s="14">
        <f t="shared" si="95"/>
        <v>26728.56785534247</v>
      </c>
      <c r="F178" s="14">
        <f t="shared" si="95"/>
        <v>30249.566755917811</v>
      </c>
      <c r="G178" s="14">
        <f t="shared" si="95"/>
        <v>36241.14249744932</v>
      </c>
      <c r="H178" s="14">
        <f t="shared" si="95"/>
        <v>39658.466414330833</v>
      </c>
      <c r="I178" s="14">
        <f t="shared" si="95"/>
        <v>44902.323162382003</v>
      </c>
      <c r="J178" s="14">
        <f t="shared" si="95"/>
        <v>9.5537716243541784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outlineLevel="1" x14ac:dyDescent="0.25">
      <c r="A179" s="147" t="s">
        <v>231</v>
      </c>
      <c r="B179" s="14"/>
      <c r="C179" s="14">
        <f>I176*(1.12)/(D156-D157)</f>
        <v>628632.52427334816</v>
      </c>
      <c r="D179" s="14"/>
      <c r="E179" s="14"/>
      <c r="F179" s="14"/>
      <c r="G179" s="14"/>
      <c r="H179" s="14"/>
      <c r="I179" s="14"/>
      <c r="J179" s="14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outlineLevel="1" x14ac:dyDescent="0.25">
      <c r="A180" s="147" t="s">
        <v>63</v>
      </c>
      <c r="B180" s="14"/>
      <c r="C180" s="14">
        <f>C179+K177</f>
        <v>750223.8858153075</v>
      </c>
      <c r="D180" s="14"/>
      <c r="E180" s="14"/>
      <c r="F180" s="14"/>
      <c r="G180" s="14"/>
      <c r="H180" s="14"/>
      <c r="I180" s="14"/>
      <c r="J180" s="14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outlineLevel="1" x14ac:dyDescent="0.25">
      <c r="A181" s="1"/>
      <c r="B181" s="38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outlineLevel="1" x14ac:dyDescent="0.25">
      <c r="A182" s="14" t="s">
        <v>244</v>
      </c>
      <c r="B182" s="1"/>
      <c r="C182" s="1">
        <f>SUM(C178:C180)</f>
        <v>1148882.2353520805</v>
      </c>
      <c r="D182" s="192"/>
      <c r="E182" s="14" t="s">
        <v>245</v>
      </c>
      <c r="F182" s="1"/>
      <c r="G182" s="1"/>
      <c r="H182" s="1"/>
      <c r="I182" s="1"/>
      <c r="J182" s="14" t="s">
        <v>246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outlineLevel="1" x14ac:dyDescent="0.25">
      <c r="A183" s="94" t="s">
        <v>63</v>
      </c>
      <c r="B183" s="94"/>
      <c r="C183" s="94">
        <v>628633</v>
      </c>
      <c r="D183" s="1"/>
      <c r="E183" s="94" t="s">
        <v>247</v>
      </c>
      <c r="F183" s="94"/>
      <c r="G183" s="94">
        <f>C159*C160</f>
        <v>587500</v>
      </c>
      <c r="H183" s="1"/>
      <c r="I183" s="1"/>
      <c r="J183" s="94" t="s">
        <v>248</v>
      </c>
      <c r="K183" s="94"/>
      <c r="L183" s="115">
        <f>XIRR(C178:J178,C164:J164)</f>
        <v>-5.1963523030281067E-2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outlineLevel="1" x14ac:dyDescent="0.25">
      <c r="A184" s="1" t="s">
        <v>249</v>
      </c>
      <c r="B184" s="1"/>
      <c r="C184" s="1">
        <f>+O81</f>
        <v>367525.82526342495</v>
      </c>
      <c r="D184" s="1"/>
      <c r="E184" s="1" t="s">
        <v>250</v>
      </c>
      <c r="F184" s="1"/>
      <c r="G184" s="1">
        <f>O93+O90</f>
        <v>10000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outlineLevel="1" x14ac:dyDescent="0.25">
      <c r="A185" s="1" t="s">
        <v>251</v>
      </c>
      <c r="B185" s="1"/>
      <c r="C185" s="1">
        <f>O93</f>
        <v>10000</v>
      </c>
      <c r="D185" s="1"/>
      <c r="E185" s="1" t="s">
        <v>252</v>
      </c>
      <c r="F185" s="1"/>
      <c r="G185" s="1">
        <f>O81</f>
        <v>367525.82526342495</v>
      </c>
      <c r="H185" s="1"/>
      <c r="I185" s="1"/>
      <c r="J185" s="1"/>
      <c r="K185" s="1"/>
      <c r="L185" s="38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outlineLevel="1" x14ac:dyDescent="0.25">
      <c r="A186" s="1" t="s">
        <v>253</v>
      </c>
      <c r="B186" s="1"/>
      <c r="C186" s="94">
        <f>C183+C184-C185</f>
        <v>986158.82526342501</v>
      </c>
      <c r="D186" s="1"/>
      <c r="E186" s="1" t="s">
        <v>63</v>
      </c>
      <c r="F186" s="1"/>
      <c r="G186" s="94">
        <f>G183+G184-G185</f>
        <v>229974.17473657505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outlineLevel="1" x14ac:dyDescent="0.25">
      <c r="A187" s="1"/>
      <c r="B187" s="1"/>
      <c r="C187" s="1"/>
      <c r="D187" s="1"/>
      <c r="E187" s="1"/>
      <c r="F187" s="1"/>
      <c r="G187" s="3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outlineLevel="1" x14ac:dyDescent="0.25">
      <c r="A188" s="14" t="s">
        <v>149</v>
      </c>
      <c r="B188" s="1"/>
      <c r="C188" s="170">
        <f>C186/C160</f>
        <v>19.723176505268501</v>
      </c>
      <c r="D188" s="1"/>
      <c r="E188" s="14" t="s">
        <v>149</v>
      </c>
      <c r="F188" s="14"/>
      <c r="G188" s="75">
        <f>C186/C160</f>
        <v>19.723176505268501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outlineLevel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outlineLevel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x14ac:dyDescent="0.2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x14ac:dyDescent="0.2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x14ac:dyDescent="0.2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x14ac:dyDescent="0.2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x14ac:dyDescent="0.2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x14ac:dyDescent="0.2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x14ac:dyDescent="0.2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x14ac:dyDescent="0.2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x14ac:dyDescent="0.2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x14ac:dyDescent="0.2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x14ac:dyDescent="0.2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x14ac:dyDescent="0.2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x14ac:dyDescent="0.2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x14ac:dyDescent="0.2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x14ac:dyDescent="0.2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x14ac:dyDescent="0.2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x14ac:dyDescent="0.2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x14ac:dyDescent="0.2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x14ac:dyDescent="0.2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x14ac:dyDescent="0.2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x14ac:dyDescent="0.2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x14ac:dyDescent="0.2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x14ac:dyDescent="0.2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x14ac:dyDescent="0.2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x14ac:dyDescent="0.2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x14ac:dyDescent="0.2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x14ac:dyDescent="0.2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x14ac:dyDescent="0.2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x14ac:dyDescent="0.2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x14ac:dyDescent="0.2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x14ac:dyDescent="0.2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x14ac:dyDescent="0.2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x14ac:dyDescent="0.2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x14ac:dyDescent="0.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x14ac:dyDescent="0.2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x14ac:dyDescent="0.2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x14ac:dyDescent="0.2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x14ac:dyDescent="0.2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x14ac:dyDescent="0.2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x14ac:dyDescent="0.2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x14ac:dyDescent="0.2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x14ac:dyDescent="0.2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x14ac:dyDescent="0.2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x14ac:dyDescent="0.2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x14ac:dyDescent="0.2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x14ac:dyDescent="0.2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x14ac:dyDescent="0.2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x14ac:dyDescent="0.2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x14ac:dyDescent="0.2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x14ac:dyDescent="0.2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x14ac:dyDescent="0.2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x14ac:dyDescent="0.2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x14ac:dyDescent="0.2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x14ac:dyDescent="0.2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x14ac:dyDescent="0.2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x14ac:dyDescent="0.2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x14ac:dyDescent="0.2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x14ac:dyDescent="0.2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x14ac:dyDescent="0.2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x14ac:dyDescent="0.2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x14ac:dyDescent="0.2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x14ac:dyDescent="0.2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x14ac:dyDescent="0.2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x14ac:dyDescent="0.2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x14ac:dyDescent="0.2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x14ac:dyDescent="0.2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x14ac:dyDescent="0.2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x14ac:dyDescent="0.2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x14ac:dyDescent="0.2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x14ac:dyDescent="0.2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x14ac:dyDescent="0.2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x14ac:dyDescent="0.2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x14ac:dyDescent="0.2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x14ac:dyDescent="0.2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x14ac:dyDescent="0.2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x14ac:dyDescent="0.2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x14ac:dyDescent="0.2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x14ac:dyDescent="0.2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x14ac:dyDescent="0.2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x14ac:dyDescent="0.2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x14ac:dyDescent="0.2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x14ac:dyDescent="0.2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x14ac:dyDescent="0.2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x14ac:dyDescent="0.2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x14ac:dyDescent="0.2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x14ac:dyDescent="0.2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x14ac:dyDescent="0.2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x14ac:dyDescent="0.2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x14ac:dyDescent="0.2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x14ac:dyDescent="0.2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x14ac:dyDescent="0.2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x14ac:dyDescent="0.2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x14ac:dyDescent="0.2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x14ac:dyDescent="0.2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x14ac:dyDescent="0.2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x14ac:dyDescent="0.2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x14ac:dyDescent="0.2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x14ac:dyDescent="0.2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x14ac:dyDescent="0.2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x14ac:dyDescent="0.2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x14ac:dyDescent="0.2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x14ac:dyDescent="0.2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x14ac:dyDescent="0.2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x14ac:dyDescent="0.2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x14ac:dyDescent="0.2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x14ac:dyDescent="0.2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x14ac:dyDescent="0.2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x14ac:dyDescent="0.2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x14ac:dyDescent="0.2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x14ac:dyDescent="0.2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x14ac:dyDescent="0.2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x14ac:dyDescent="0.2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x14ac:dyDescent="0.2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x14ac:dyDescent="0.2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x14ac:dyDescent="0.2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x14ac:dyDescent="0.2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x14ac:dyDescent="0.2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x14ac:dyDescent="0.2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x14ac:dyDescent="0.2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x14ac:dyDescent="0.2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x14ac:dyDescent="0.2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x14ac:dyDescent="0.2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x14ac:dyDescent="0.2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x14ac:dyDescent="0.2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x14ac:dyDescent="0.2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x14ac:dyDescent="0.2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x14ac:dyDescent="0.2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x14ac:dyDescent="0.2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x14ac:dyDescent="0.2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x14ac:dyDescent="0.2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x14ac:dyDescent="0.2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x14ac:dyDescent="0.2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x14ac:dyDescent="0.2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x14ac:dyDescent="0.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x14ac:dyDescent="0.2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x14ac:dyDescent="0.2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x14ac:dyDescent="0.2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x14ac:dyDescent="0.2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x14ac:dyDescent="0.2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x14ac:dyDescent="0.2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x14ac:dyDescent="0.2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x14ac:dyDescent="0.2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x14ac:dyDescent="0.2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x14ac:dyDescent="0.2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x14ac:dyDescent="0.2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x14ac:dyDescent="0.2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x14ac:dyDescent="0.2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x14ac:dyDescent="0.2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x14ac:dyDescent="0.2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x14ac:dyDescent="0.2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x14ac:dyDescent="0.2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x14ac:dyDescent="0.2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x14ac:dyDescent="0.2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x14ac:dyDescent="0.2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x14ac:dyDescent="0.2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x14ac:dyDescent="0.2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x14ac:dyDescent="0.2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x14ac:dyDescent="0.2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x14ac:dyDescent="0.2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x14ac:dyDescent="0.2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x14ac:dyDescent="0.2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x14ac:dyDescent="0.2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x14ac:dyDescent="0.2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x14ac:dyDescent="0.2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x14ac:dyDescent="0.2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x14ac:dyDescent="0.2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x14ac:dyDescent="0.2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x14ac:dyDescent="0.2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x14ac:dyDescent="0.2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x14ac:dyDescent="0.2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x14ac:dyDescent="0.2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x14ac:dyDescent="0.2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x14ac:dyDescent="0.2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x14ac:dyDescent="0.2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x14ac:dyDescent="0.2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x14ac:dyDescent="0.2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x14ac:dyDescent="0.2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x14ac:dyDescent="0.2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x14ac:dyDescent="0.2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x14ac:dyDescent="0.2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x14ac:dyDescent="0.2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x14ac:dyDescent="0.2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x14ac:dyDescent="0.2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x14ac:dyDescent="0.2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x14ac:dyDescent="0.2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x14ac:dyDescent="0.2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x14ac:dyDescent="0.2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x14ac:dyDescent="0.2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x14ac:dyDescent="0.2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x14ac:dyDescent="0.2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x14ac:dyDescent="0.2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x14ac:dyDescent="0.2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x14ac:dyDescent="0.2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x14ac:dyDescent="0.2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x14ac:dyDescent="0.2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x14ac:dyDescent="0.2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x14ac:dyDescent="0.2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x14ac:dyDescent="0.2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x14ac:dyDescent="0.2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x14ac:dyDescent="0.2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x14ac:dyDescent="0.2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x14ac:dyDescent="0.2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x14ac:dyDescent="0.2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x14ac:dyDescent="0.2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x14ac:dyDescent="0.2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x14ac:dyDescent="0.2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x14ac:dyDescent="0.2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x14ac:dyDescent="0.2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x14ac:dyDescent="0.2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x14ac:dyDescent="0.2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x14ac:dyDescent="0.2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x14ac:dyDescent="0.2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x14ac:dyDescent="0.2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x14ac:dyDescent="0.2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x14ac:dyDescent="0.2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x14ac:dyDescent="0.2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x14ac:dyDescent="0.2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x14ac:dyDescent="0.2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x14ac:dyDescent="0.2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x14ac:dyDescent="0.2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x14ac:dyDescent="0.2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x14ac:dyDescent="0.2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x14ac:dyDescent="0.2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x14ac:dyDescent="0.2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x14ac:dyDescent="0.2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x14ac:dyDescent="0.2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x14ac:dyDescent="0.2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x14ac:dyDescent="0.2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x14ac:dyDescent="0.2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x14ac:dyDescent="0.2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x14ac:dyDescent="0.2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x14ac:dyDescent="0.2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x14ac:dyDescent="0.2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x14ac:dyDescent="0.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x14ac:dyDescent="0.2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x14ac:dyDescent="0.2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x14ac:dyDescent="0.2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x14ac:dyDescent="0.2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x14ac:dyDescent="0.2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x14ac:dyDescent="0.2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x14ac:dyDescent="0.2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x14ac:dyDescent="0.2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x14ac:dyDescent="0.2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x14ac:dyDescent="0.2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x14ac:dyDescent="0.2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x14ac:dyDescent="0.2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x14ac:dyDescent="0.2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x14ac:dyDescent="0.2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x14ac:dyDescent="0.2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x14ac:dyDescent="0.2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x14ac:dyDescent="0.2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x14ac:dyDescent="0.2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x14ac:dyDescent="0.2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x14ac:dyDescent="0.2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x14ac:dyDescent="0.2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x14ac:dyDescent="0.2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x14ac:dyDescent="0.2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x14ac:dyDescent="0.2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x14ac:dyDescent="0.2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x14ac:dyDescent="0.2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x14ac:dyDescent="0.2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x14ac:dyDescent="0.2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x14ac:dyDescent="0.2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x14ac:dyDescent="0.2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x14ac:dyDescent="0.2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x14ac:dyDescent="0.2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x14ac:dyDescent="0.2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x14ac:dyDescent="0.2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x14ac:dyDescent="0.2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x14ac:dyDescent="0.2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x14ac:dyDescent="0.2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x14ac:dyDescent="0.2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x14ac:dyDescent="0.2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x14ac:dyDescent="0.2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x14ac:dyDescent="0.2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x14ac:dyDescent="0.2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x14ac:dyDescent="0.2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x14ac:dyDescent="0.2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x14ac:dyDescent="0.2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x14ac:dyDescent="0.2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x14ac:dyDescent="0.2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x14ac:dyDescent="0.2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x14ac:dyDescent="0.2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x14ac:dyDescent="0.2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x14ac:dyDescent="0.2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x14ac:dyDescent="0.2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x14ac:dyDescent="0.2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x14ac:dyDescent="0.2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x14ac:dyDescent="0.2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x14ac:dyDescent="0.2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x14ac:dyDescent="0.2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x14ac:dyDescent="0.2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x14ac:dyDescent="0.2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x14ac:dyDescent="0.2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x14ac:dyDescent="0.2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x14ac:dyDescent="0.2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x14ac:dyDescent="0.2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x14ac:dyDescent="0.2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x14ac:dyDescent="0.2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x14ac:dyDescent="0.2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x14ac:dyDescent="0.2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x14ac:dyDescent="0.2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x14ac:dyDescent="0.2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x14ac:dyDescent="0.2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x14ac:dyDescent="0.2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x14ac:dyDescent="0.2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x14ac:dyDescent="0.2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x14ac:dyDescent="0.2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x14ac:dyDescent="0.2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x14ac:dyDescent="0.2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x14ac:dyDescent="0.2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x14ac:dyDescent="0.2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x14ac:dyDescent="0.2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x14ac:dyDescent="0.2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x14ac:dyDescent="0.2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x14ac:dyDescent="0.2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x14ac:dyDescent="0.2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x14ac:dyDescent="0.2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x14ac:dyDescent="0.2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x14ac:dyDescent="0.2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x14ac:dyDescent="0.2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x14ac:dyDescent="0.2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x14ac:dyDescent="0.2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x14ac:dyDescent="0.2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x14ac:dyDescent="0.2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x14ac:dyDescent="0.2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x14ac:dyDescent="0.2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x14ac:dyDescent="0.2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x14ac:dyDescent="0.2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x14ac:dyDescent="0.2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x14ac:dyDescent="0.2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x14ac:dyDescent="0.2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x14ac:dyDescent="0.2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x14ac:dyDescent="0.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x14ac:dyDescent="0.2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x14ac:dyDescent="0.2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x14ac:dyDescent="0.2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x14ac:dyDescent="0.2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x14ac:dyDescent="0.2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x14ac:dyDescent="0.2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x14ac:dyDescent="0.2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x14ac:dyDescent="0.2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x14ac:dyDescent="0.2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x14ac:dyDescent="0.2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x14ac:dyDescent="0.2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x14ac:dyDescent="0.2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x14ac:dyDescent="0.2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x14ac:dyDescent="0.2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x14ac:dyDescent="0.2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x14ac:dyDescent="0.2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x14ac:dyDescent="0.2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x14ac:dyDescent="0.2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x14ac:dyDescent="0.2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x14ac:dyDescent="0.2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x14ac:dyDescent="0.2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x14ac:dyDescent="0.2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x14ac:dyDescent="0.2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x14ac:dyDescent="0.2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x14ac:dyDescent="0.2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x14ac:dyDescent="0.2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x14ac:dyDescent="0.2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x14ac:dyDescent="0.2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x14ac:dyDescent="0.2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x14ac:dyDescent="0.2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x14ac:dyDescent="0.2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x14ac:dyDescent="0.2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x14ac:dyDescent="0.2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x14ac:dyDescent="0.2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x14ac:dyDescent="0.2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x14ac:dyDescent="0.2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x14ac:dyDescent="0.2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x14ac:dyDescent="0.2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x14ac:dyDescent="0.2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x14ac:dyDescent="0.2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x14ac:dyDescent="0.2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x14ac:dyDescent="0.2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x14ac:dyDescent="0.2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x14ac:dyDescent="0.2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x14ac:dyDescent="0.2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x14ac:dyDescent="0.2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x14ac:dyDescent="0.2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x14ac:dyDescent="0.2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x14ac:dyDescent="0.2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x14ac:dyDescent="0.2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x14ac:dyDescent="0.2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x14ac:dyDescent="0.2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x14ac:dyDescent="0.2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x14ac:dyDescent="0.2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x14ac:dyDescent="0.2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x14ac:dyDescent="0.2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x14ac:dyDescent="0.2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x14ac:dyDescent="0.2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x14ac:dyDescent="0.2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x14ac:dyDescent="0.2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x14ac:dyDescent="0.2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x14ac:dyDescent="0.2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x14ac:dyDescent="0.2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x14ac:dyDescent="0.2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x14ac:dyDescent="0.2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x14ac:dyDescent="0.2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x14ac:dyDescent="0.2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x14ac:dyDescent="0.2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x14ac:dyDescent="0.2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x14ac:dyDescent="0.2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x14ac:dyDescent="0.2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x14ac:dyDescent="0.2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x14ac:dyDescent="0.2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x14ac:dyDescent="0.2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x14ac:dyDescent="0.2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x14ac:dyDescent="0.2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x14ac:dyDescent="0.2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x14ac:dyDescent="0.2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x14ac:dyDescent="0.2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x14ac:dyDescent="0.2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x14ac:dyDescent="0.2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x14ac:dyDescent="0.2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x14ac:dyDescent="0.2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x14ac:dyDescent="0.2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x14ac:dyDescent="0.2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x14ac:dyDescent="0.2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x14ac:dyDescent="0.2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x14ac:dyDescent="0.2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x14ac:dyDescent="0.2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x14ac:dyDescent="0.2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x14ac:dyDescent="0.2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x14ac:dyDescent="0.2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x14ac:dyDescent="0.2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x14ac:dyDescent="0.2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x14ac:dyDescent="0.2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x14ac:dyDescent="0.2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x14ac:dyDescent="0.2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x14ac:dyDescent="0.2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x14ac:dyDescent="0.2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x14ac:dyDescent="0.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x14ac:dyDescent="0.2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x14ac:dyDescent="0.2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x14ac:dyDescent="0.2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x14ac:dyDescent="0.2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x14ac:dyDescent="0.2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x14ac:dyDescent="0.2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x14ac:dyDescent="0.2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x14ac:dyDescent="0.2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x14ac:dyDescent="0.2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x14ac:dyDescent="0.2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x14ac:dyDescent="0.2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x14ac:dyDescent="0.2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x14ac:dyDescent="0.2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x14ac:dyDescent="0.2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x14ac:dyDescent="0.2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x14ac:dyDescent="0.2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x14ac:dyDescent="0.2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x14ac:dyDescent="0.2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x14ac:dyDescent="0.2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x14ac:dyDescent="0.2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x14ac:dyDescent="0.2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x14ac:dyDescent="0.2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x14ac:dyDescent="0.2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x14ac:dyDescent="0.2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x14ac:dyDescent="0.2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x14ac:dyDescent="0.2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x14ac:dyDescent="0.2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x14ac:dyDescent="0.2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x14ac:dyDescent="0.2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x14ac:dyDescent="0.2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x14ac:dyDescent="0.2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x14ac:dyDescent="0.2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x14ac:dyDescent="0.2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x14ac:dyDescent="0.2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x14ac:dyDescent="0.2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x14ac:dyDescent="0.2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x14ac:dyDescent="0.2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x14ac:dyDescent="0.2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x14ac:dyDescent="0.2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x14ac:dyDescent="0.2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x14ac:dyDescent="0.2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x14ac:dyDescent="0.2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x14ac:dyDescent="0.2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x14ac:dyDescent="0.2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x14ac:dyDescent="0.2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x14ac:dyDescent="0.2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x14ac:dyDescent="0.2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x14ac:dyDescent="0.2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x14ac:dyDescent="0.2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x14ac:dyDescent="0.2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x14ac:dyDescent="0.2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x14ac:dyDescent="0.2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x14ac:dyDescent="0.2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x14ac:dyDescent="0.2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x14ac:dyDescent="0.2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x14ac:dyDescent="0.2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x14ac:dyDescent="0.2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x14ac:dyDescent="0.2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x14ac:dyDescent="0.2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x14ac:dyDescent="0.2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x14ac:dyDescent="0.2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x14ac:dyDescent="0.2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x14ac:dyDescent="0.2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x14ac:dyDescent="0.2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x14ac:dyDescent="0.2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x14ac:dyDescent="0.2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x14ac:dyDescent="0.2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x14ac:dyDescent="0.2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x14ac:dyDescent="0.2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x14ac:dyDescent="0.2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x14ac:dyDescent="0.2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x14ac:dyDescent="0.2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x14ac:dyDescent="0.2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x14ac:dyDescent="0.2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x14ac:dyDescent="0.2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x14ac:dyDescent="0.2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x14ac:dyDescent="0.2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x14ac:dyDescent="0.2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x14ac:dyDescent="0.2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x14ac:dyDescent="0.2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x14ac:dyDescent="0.2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x14ac:dyDescent="0.2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x14ac:dyDescent="0.2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x14ac:dyDescent="0.2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x14ac:dyDescent="0.2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x14ac:dyDescent="0.2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x14ac:dyDescent="0.2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x14ac:dyDescent="0.2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x14ac:dyDescent="0.2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x14ac:dyDescent="0.2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x14ac:dyDescent="0.2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x14ac:dyDescent="0.2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x14ac:dyDescent="0.2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x14ac:dyDescent="0.2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x14ac:dyDescent="0.2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x14ac:dyDescent="0.2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x14ac:dyDescent="0.2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x14ac:dyDescent="0.2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x14ac:dyDescent="0.2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x14ac:dyDescent="0.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x14ac:dyDescent="0.2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x14ac:dyDescent="0.2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x14ac:dyDescent="0.2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x14ac:dyDescent="0.2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x14ac:dyDescent="0.2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x14ac:dyDescent="0.2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x14ac:dyDescent="0.2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x14ac:dyDescent="0.2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x14ac:dyDescent="0.2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x14ac:dyDescent="0.2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x14ac:dyDescent="0.2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x14ac:dyDescent="0.2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x14ac:dyDescent="0.2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x14ac:dyDescent="0.2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x14ac:dyDescent="0.2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x14ac:dyDescent="0.2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x14ac:dyDescent="0.2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x14ac:dyDescent="0.2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x14ac:dyDescent="0.2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x14ac:dyDescent="0.2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x14ac:dyDescent="0.2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x14ac:dyDescent="0.2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x14ac:dyDescent="0.2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x14ac:dyDescent="0.2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x14ac:dyDescent="0.2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x14ac:dyDescent="0.2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x14ac:dyDescent="0.2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x14ac:dyDescent="0.2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x14ac:dyDescent="0.2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x14ac:dyDescent="0.2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x14ac:dyDescent="0.2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x14ac:dyDescent="0.2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x14ac:dyDescent="0.2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x14ac:dyDescent="0.2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x14ac:dyDescent="0.2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x14ac:dyDescent="0.2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x14ac:dyDescent="0.2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x14ac:dyDescent="0.2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x14ac:dyDescent="0.2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x14ac:dyDescent="0.2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x14ac:dyDescent="0.2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x14ac:dyDescent="0.2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x14ac:dyDescent="0.2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x14ac:dyDescent="0.2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x14ac:dyDescent="0.2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x14ac:dyDescent="0.2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x14ac:dyDescent="0.2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x14ac:dyDescent="0.2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x14ac:dyDescent="0.2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x14ac:dyDescent="0.2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x14ac:dyDescent="0.2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x14ac:dyDescent="0.2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x14ac:dyDescent="0.2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x14ac:dyDescent="0.2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x14ac:dyDescent="0.2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x14ac:dyDescent="0.2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x14ac:dyDescent="0.2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x14ac:dyDescent="0.2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x14ac:dyDescent="0.2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x14ac:dyDescent="0.2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x14ac:dyDescent="0.2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x14ac:dyDescent="0.2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x14ac:dyDescent="0.2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x14ac:dyDescent="0.2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x14ac:dyDescent="0.2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x14ac:dyDescent="0.2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x14ac:dyDescent="0.2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x14ac:dyDescent="0.2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x14ac:dyDescent="0.2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x14ac:dyDescent="0.2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x14ac:dyDescent="0.2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x14ac:dyDescent="0.2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x14ac:dyDescent="0.2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x14ac:dyDescent="0.2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x14ac:dyDescent="0.2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x14ac:dyDescent="0.2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x14ac:dyDescent="0.2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x14ac:dyDescent="0.2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x14ac:dyDescent="0.2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x14ac:dyDescent="0.2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x14ac:dyDescent="0.2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x14ac:dyDescent="0.2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x14ac:dyDescent="0.2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x14ac:dyDescent="0.2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x14ac:dyDescent="0.2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x14ac:dyDescent="0.2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x14ac:dyDescent="0.2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x14ac:dyDescent="0.2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x14ac:dyDescent="0.2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x14ac:dyDescent="0.2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x14ac:dyDescent="0.2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x14ac:dyDescent="0.2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x14ac:dyDescent="0.2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x14ac:dyDescent="0.2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x14ac:dyDescent="0.2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x14ac:dyDescent="0.2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x14ac:dyDescent="0.2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x14ac:dyDescent="0.2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x14ac:dyDescent="0.2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x14ac:dyDescent="0.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x14ac:dyDescent="0.2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x14ac:dyDescent="0.2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x14ac:dyDescent="0.2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x14ac:dyDescent="0.2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x14ac:dyDescent="0.2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x14ac:dyDescent="0.2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x14ac:dyDescent="0.2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x14ac:dyDescent="0.2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x14ac:dyDescent="0.2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x14ac:dyDescent="0.2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x14ac:dyDescent="0.2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x14ac:dyDescent="0.2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x14ac:dyDescent="0.2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x14ac:dyDescent="0.2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x14ac:dyDescent="0.2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x14ac:dyDescent="0.2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x14ac:dyDescent="0.2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x14ac:dyDescent="0.2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x14ac:dyDescent="0.2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x14ac:dyDescent="0.2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x14ac:dyDescent="0.2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x14ac:dyDescent="0.2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x14ac:dyDescent="0.2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x14ac:dyDescent="0.2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x14ac:dyDescent="0.2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x14ac:dyDescent="0.2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x14ac:dyDescent="0.2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x14ac:dyDescent="0.2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x14ac:dyDescent="0.2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x14ac:dyDescent="0.2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x14ac:dyDescent="0.2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x14ac:dyDescent="0.2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x14ac:dyDescent="0.2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x14ac:dyDescent="0.2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x14ac:dyDescent="0.2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x14ac:dyDescent="0.2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x14ac:dyDescent="0.2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x14ac:dyDescent="0.2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x14ac:dyDescent="0.2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x14ac:dyDescent="0.2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x14ac:dyDescent="0.2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x14ac:dyDescent="0.2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x14ac:dyDescent="0.2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x14ac:dyDescent="0.2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x14ac:dyDescent="0.2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x14ac:dyDescent="0.2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x14ac:dyDescent="0.2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x14ac:dyDescent="0.2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x14ac:dyDescent="0.2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x14ac:dyDescent="0.2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x14ac:dyDescent="0.2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x14ac:dyDescent="0.2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x14ac:dyDescent="0.2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x14ac:dyDescent="0.2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x14ac:dyDescent="0.2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x14ac:dyDescent="0.2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x14ac:dyDescent="0.2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x14ac:dyDescent="0.2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x14ac:dyDescent="0.2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x14ac:dyDescent="0.2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x14ac:dyDescent="0.2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x14ac:dyDescent="0.2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x14ac:dyDescent="0.2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x14ac:dyDescent="0.2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x14ac:dyDescent="0.2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x14ac:dyDescent="0.2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x14ac:dyDescent="0.2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x14ac:dyDescent="0.2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x14ac:dyDescent="0.2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x14ac:dyDescent="0.2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x14ac:dyDescent="0.2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x14ac:dyDescent="0.2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x14ac:dyDescent="0.2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x14ac:dyDescent="0.2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x14ac:dyDescent="0.2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x14ac:dyDescent="0.2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x14ac:dyDescent="0.2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x14ac:dyDescent="0.2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x14ac:dyDescent="0.2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x14ac:dyDescent="0.2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x14ac:dyDescent="0.2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x14ac:dyDescent="0.2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x14ac:dyDescent="0.2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x14ac:dyDescent="0.2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x14ac:dyDescent="0.2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x14ac:dyDescent="0.2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x14ac:dyDescent="0.2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x14ac:dyDescent="0.2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x14ac:dyDescent="0.2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x14ac:dyDescent="0.2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x14ac:dyDescent="0.2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x14ac:dyDescent="0.2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x14ac:dyDescent="0.2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x14ac:dyDescent="0.2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x14ac:dyDescent="0.2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x14ac:dyDescent="0.2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x14ac:dyDescent="0.2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x14ac:dyDescent="0.2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x14ac:dyDescent="0.2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x14ac:dyDescent="0.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x14ac:dyDescent="0.2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x14ac:dyDescent="0.2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x14ac:dyDescent="0.2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x14ac:dyDescent="0.2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x14ac:dyDescent="0.2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x14ac:dyDescent="0.2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x14ac:dyDescent="0.2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x14ac:dyDescent="0.2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x14ac:dyDescent="0.2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x14ac:dyDescent="0.2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x14ac:dyDescent="0.2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x14ac:dyDescent="0.2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x14ac:dyDescent="0.2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x14ac:dyDescent="0.2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x14ac:dyDescent="0.2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x14ac:dyDescent="0.2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x14ac:dyDescent="0.2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x14ac:dyDescent="0.2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x14ac:dyDescent="0.2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x14ac:dyDescent="0.2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x14ac:dyDescent="0.2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x14ac:dyDescent="0.2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x14ac:dyDescent="0.2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x14ac:dyDescent="0.2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x14ac:dyDescent="0.2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x14ac:dyDescent="0.2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x14ac:dyDescent="0.2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x14ac:dyDescent="0.2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x14ac:dyDescent="0.2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x14ac:dyDescent="0.2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x14ac:dyDescent="0.2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x14ac:dyDescent="0.2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x14ac:dyDescent="0.2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x14ac:dyDescent="0.2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x14ac:dyDescent="0.2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x14ac:dyDescent="0.2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x14ac:dyDescent="0.2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x14ac:dyDescent="0.2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x14ac:dyDescent="0.2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x14ac:dyDescent="0.2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x14ac:dyDescent="0.2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x14ac:dyDescent="0.2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x14ac:dyDescent="0.2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x14ac:dyDescent="0.2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x14ac:dyDescent="0.2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x14ac:dyDescent="0.2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x14ac:dyDescent="0.2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x14ac:dyDescent="0.2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x14ac:dyDescent="0.2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x14ac:dyDescent="0.2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x14ac:dyDescent="0.2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x14ac:dyDescent="0.2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x14ac:dyDescent="0.2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x14ac:dyDescent="0.2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x14ac:dyDescent="0.2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x14ac:dyDescent="0.2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x14ac:dyDescent="0.2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x14ac:dyDescent="0.2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x14ac:dyDescent="0.2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x14ac:dyDescent="0.2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x14ac:dyDescent="0.2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x14ac:dyDescent="0.2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x14ac:dyDescent="0.2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x14ac:dyDescent="0.2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x14ac:dyDescent="0.2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x14ac:dyDescent="0.2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x14ac:dyDescent="0.2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x14ac:dyDescent="0.2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x14ac:dyDescent="0.2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x14ac:dyDescent="0.2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x14ac:dyDescent="0.2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x14ac:dyDescent="0.25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x14ac:dyDescent="0.25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x14ac:dyDescent="0.25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x14ac:dyDescent="0.25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x14ac:dyDescent="0.25">
      <c r="A1001" s="1"/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x14ac:dyDescent="0.25">
      <c r="A1002" s="1"/>
      <c r="B1002" s="1"/>
      <c r="C1002" s="2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3">
    <mergeCell ref="D1:H1"/>
    <mergeCell ref="I1:N1"/>
    <mergeCell ref="O1:P1"/>
  </mergeCells>
  <conditionalFormatting sqref="D4:P6">
    <cfRule type="containsText" dxfId="17" priority="1" operator="containsText" text="OK">
      <formula>NOT(ISERROR(SEARCH(("OK"),(D4))))</formula>
    </cfRule>
    <cfRule type="containsText" dxfId="16" priority="2" operator="containsText" text="ERROR">
      <formula>NOT(ISERROR(SEARCH(("ERROR"),(D4))))</formula>
    </cfRule>
  </conditionalFormatting>
  <conditionalFormatting sqref="G10:H10">
    <cfRule type="containsText" dxfId="15" priority="3" operator="containsText" text="OK">
      <formula>NOT(ISERROR(SEARCH(("OK"),(G10))))</formula>
    </cfRule>
    <cfRule type="containsText" dxfId="14" priority="4" operator="containsText" text="ERROR">
      <formula>NOT(ISERROR(SEARCH(("ERROR"),(G10))))</formula>
    </cfRule>
  </conditionalFormatting>
  <conditionalFormatting sqref="J10">
    <cfRule type="containsText" dxfId="13" priority="5" operator="containsText" text="OK">
      <formula>NOT(ISERROR(SEARCH(("OK"),(J10))))</formula>
    </cfRule>
    <cfRule type="containsText" dxfId="12" priority="6" operator="containsText" text="ERROR">
      <formula>NOT(ISERROR(SEARCH(("ERROR"),(J10))))</formula>
    </cfRule>
  </conditionalFormatting>
  <conditionalFormatting sqref="O5">
    <cfRule type="containsText" dxfId="11" priority="7" operator="containsText" text="OK">
      <formula>NOT(ISERROR(SEARCH(("OK"),(O5))))</formula>
    </cfRule>
    <cfRule type="containsText" dxfId="10" priority="8" operator="containsText" text="ERROR">
      <formula>NOT(ISERROR(SEARCH(("ERROR"),(O5))))</formula>
    </cfRule>
  </conditionalFormatting>
  <conditionalFormatting sqref="O4:P6">
    <cfRule type="containsText" dxfId="9" priority="9" operator="containsText" text="OK">
      <formula>NOT(ISERROR(SEARCH(("OK"),(O4))))</formula>
    </cfRule>
    <cfRule type="containsText" dxfId="8" priority="10" operator="containsText" text="ERROR">
      <formula>NOT(ISERROR(SEARCH(("ERROR"),(O4))))</formula>
    </cfRule>
  </conditionalFormatting>
  <dataValidations count="1">
    <dataValidation type="list" allowBlank="1" showErrorMessage="1" sqref="I10" xr:uid="{00000000-0002-0000-0200-000000000000}">
      <formula1>"1,2"</formula1>
    </dataValidation>
  </dataValidations>
  <pageMargins left="0.7" right="0.7" top="0.75" bottom="0.75" header="0" footer="0"/>
  <pageSetup scale="82" orientation="landscape"/>
  <ignoredErrors>
    <ignoredError sqref="I10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1"/>
  <sheetViews>
    <sheetView showGridLines="0" workbookViewId="0">
      <pane xSplit="3" ySplit="6" topLeftCell="D183" activePane="bottomRight" state="frozen"/>
      <selection pane="topRight" activeCell="D1" sqref="D1"/>
      <selection pane="bottomLeft" activeCell="A7" sqref="A7"/>
      <selection pane="bottomRight" activeCell="A196" sqref="A196"/>
    </sheetView>
  </sheetViews>
  <sheetFormatPr defaultColWidth="12.5703125" defaultRowHeight="15" customHeight="1" outlineLevelRow="1" x14ac:dyDescent="0.2"/>
  <cols>
    <col min="1" max="1" width="18.140625" customWidth="1"/>
    <col min="2" max="2" width="14.42578125" customWidth="1"/>
    <col min="3" max="3" width="20.28515625" customWidth="1"/>
    <col min="4" max="16" width="14.42578125" customWidth="1"/>
    <col min="17" max="26" width="9.140625" customWidth="1"/>
  </cols>
  <sheetData>
    <row r="1" spans="1:26" ht="15.75" x14ac:dyDescent="0.25">
      <c r="A1" s="118"/>
      <c r="B1" s="119"/>
      <c r="C1" s="120"/>
      <c r="D1" s="202" t="s">
        <v>257</v>
      </c>
      <c r="E1" s="198"/>
      <c r="F1" s="198"/>
      <c r="G1" s="198"/>
      <c r="H1" s="198"/>
      <c r="I1" s="201" t="s">
        <v>154</v>
      </c>
      <c r="J1" s="198"/>
      <c r="K1" s="198"/>
      <c r="L1" s="198"/>
      <c r="M1" s="198"/>
      <c r="N1" s="198"/>
      <c r="O1" s="203" t="s">
        <v>258</v>
      </c>
      <c r="P1" s="198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 x14ac:dyDescent="0.35">
      <c r="A2" s="83" t="str">
        <f>'M&amp;A Assumptions &amp; Analysis'!D7&amp;" Model"</f>
        <v>Brick 'n' Mortar Co Model</v>
      </c>
      <c r="B2" s="84"/>
      <c r="C2" s="85"/>
      <c r="D2" s="137">
        <v>2020</v>
      </c>
      <c r="E2" s="137">
        <f t="shared" ref="E2:N2" si="0">+D2+1</f>
        <v>2021</v>
      </c>
      <c r="F2" s="137">
        <f t="shared" si="0"/>
        <v>2022</v>
      </c>
      <c r="G2" s="137">
        <f t="shared" si="0"/>
        <v>2023</v>
      </c>
      <c r="H2" s="137">
        <f t="shared" si="0"/>
        <v>2024</v>
      </c>
      <c r="I2" s="87">
        <f t="shared" si="0"/>
        <v>2025</v>
      </c>
      <c r="J2" s="87">
        <f t="shared" si="0"/>
        <v>2026</v>
      </c>
      <c r="K2" s="87">
        <f t="shared" si="0"/>
        <v>2027</v>
      </c>
      <c r="L2" s="87">
        <f t="shared" si="0"/>
        <v>2028</v>
      </c>
      <c r="M2" s="87">
        <f t="shared" si="0"/>
        <v>2029</v>
      </c>
      <c r="N2" s="87">
        <f t="shared" si="0"/>
        <v>2030</v>
      </c>
      <c r="O2" s="138">
        <f t="shared" ref="O2:P2" si="1">+O4</f>
        <v>45838</v>
      </c>
      <c r="P2" s="138">
        <f t="shared" si="1"/>
        <v>46203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outlineLevel="1" x14ac:dyDescent="0.25">
      <c r="A3" s="42" t="s">
        <v>157</v>
      </c>
      <c r="B3" s="42"/>
      <c r="C3" s="76"/>
      <c r="D3" s="3" t="str">
        <f t="shared" ref="D3:N3" si="2">IFERROR(IF(ABS(D101)&gt;1,"ERROR","ok"),"ok")</f>
        <v>ok</v>
      </c>
      <c r="E3" s="3" t="str">
        <f t="shared" si="2"/>
        <v>ok</v>
      </c>
      <c r="F3" s="3" t="str">
        <f t="shared" si="2"/>
        <v>ok</v>
      </c>
      <c r="G3" s="3" t="str">
        <f t="shared" si="2"/>
        <v>ok</v>
      </c>
      <c r="H3" s="3" t="str">
        <f t="shared" si="2"/>
        <v>ok</v>
      </c>
      <c r="I3" s="3" t="str">
        <f t="shared" si="2"/>
        <v>ok</v>
      </c>
      <c r="J3" s="3" t="str">
        <f t="shared" si="2"/>
        <v>ok</v>
      </c>
      <c r="K3" s="3" t="str">
        <f t="shared" si="2"/>
        <v>ok</v>
      </c>
      <c r="L3" s="3" t="str">
        <f t="shared" si="2"/>
        <v>ok</v>
      </c>
      <c r="M3" s="3" t="str">
        <f t="shared" si="2"/>
        <v>ok</v>
      </c>
      <c r="N3" s="3" t="str">
        <f t="shared" si="2"/>
        <v>ok</v>
      </c>
      <c r="O3" s="3"/>
      <c r="P3" s="3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outlineLevel="1" x14ac:dyDescent="0.25">
      <c r="A4" s="25" t="s">
        <v>158</v>
      </c>
      <c r="B4" s="1"/>
      <c r="C4" s="2"/>
      <c r="D4" s="43">
        <v>41274</v>
      </c>
      <c r="E4" s="44">
        <f t="shared" ref="E4:N4" si="3">EOMONTH(D4,12)</f>
        <v>41639</v>
      </c>
      <c r="F4" s="44">
        <f t="shared" si="3"/>
        <v>42004</v>
      </c>
      <c r="G4" s="44">
        <f t="shared" si="3"/>
        <v>42369</v>
      </c>
      <c r="H4" s="44">
        <f t="shared" si="3"/>
        <v>42735</v>
      </c>
      <c r="I4" s="44">
        <f t="shared" si="3"/>
        <v>43100</v>
      </c>
      <c r="J4" s="44">
        <f t="shared" si="3"/>
        <v>43465</v>
      </c>
      <c r="K4" s="44">
        <f t="shared" si="3"/>
        <v>43830</v>
      </c>
      <c r="L4" s="44">
        <f t="shared" si="3"/>
        <v>44196</v>
      </c>
      <c r="M4" s="44">
        <f t="shared" si="3"/>
        <v>44561</v>
      </c>
      <c r="N4" s="44">
        <f t="shared" si="3"/>
        <v>44926</v>
      </c>
      <c r="O4" s="77">
        <f>+'M&amp;A Assumptions &amp; Analysis'!D10</f>
        <v>45838</v>
      </c>
      <c r="P4" s="44">
        <f>+EOMONTH(O4,P6*12)</f>
        <v>46203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outlineLevel="1" x14ac:dyDescent="0.25">
      <c r="A5" s="25" t="s">
        <v>159</v>
      </c>
      <c r="B5" s="1"/>
      <c r="C5" s="2"/>
      <c r="D5" s="45">
        <v>366</v>
      </c>
      <c r="E5" s="3">
        <f t="shared" ref="E5:N5" si="4">E4-D4</f>
        <v>365</v>
      </c>
      <c r="F5" s="3">
        <f t="shared" si="4"/>
        <v>365</v>
      </c>
      <c r="G5" s="3">
        <f t="shared" si="4"/>
        <v>365</v>
      </c>
      <c r="H5" s="3">
        <f t="shared" si="4"/>
        <v>366</v>
      </c>
      <c r="I5" s="3">
        <f t="shared" si="4"/>
        <v>365</v>
      </c>
      <c r="J5" s="3">
        <f t="shared" si="4"/>
        <v>365</v>
      </c>
      <c r="K5" s="3">
        <f t="shared" si="4"/>
        <v>365</v>
      </c>
      <c r="L5" s="3">
        <f t="shared" si="4"/>
        <v>366</v>
      </c>
      <c r="M5" s="3">
        <f t="shared" si="4"/>
        <v>365</v>
      </c>
      <c r="N5" s="3">
        <f t="shared" si="4"/>
        <v>365</v>
      </c>
      <c r="O5" s="3">
        <v>365</v>
      </c>
      <c r="P5" s="46">
        <v>365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outlineLevel="1" x14ac:dyDescent="0.25">
      <c r="A6" s="25" t="s">
        <v>160</v>
      </c>
      <c r="B6" s="1"/>
      <c r="C6" s="2"/>
      <c r="D6" s="47">
        <v>1</v>
      </c>
      <c r="E6" s="78">
        <f t="shared" ref="E6:N6" si="5">D6</f>
        <v>1</v>
      </c>
      <c r="F6" s="78">
        <f t="shared" si="5"/>
        <v>1</v>
      </c>
      <c r="G6" s="78">
        <f t="shared" si="5"/>
        <v>1</v>
      </c>
      <c r="H6" s="78">
        <f t="shared" si="5"/>
        <v>1</v>
      </c>
      <c r="I6" s="78">
        <f t="shared" si="5"/>
        <v>1</v>
      </c>
      <c r="J6" s="78">
        <f t="shared" si="5"/>
        <v>1</v>
      </c>
      <c r="K6" s="78">
        <f t="shared" si="5"/>
        <v>1</v>
      </c>
      <c r="L6" s="78">
        <f t="shared" si="5"/>
        <v>1</v>
      </c>
      <c r="M6" s="78">
        <f t="shared" si="5"/>
        <v>1</v>
      </c>
      <c r="N6" s="78">
        <f t="shared" si="5"/>
        <v>1</v>
      </c>
      <c r="O6" s="48">
        <v>1</v>
      </c>
      <c r="P6" s="78">
        <v>1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x14ac:dyDescent="0.25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" x14ac:dyDescent="0.35">
      <c r="A8" s="88" t="s">
        <v>0</v>
      </c>
      <c r="B8" s="89"/>
      <c r="C8" s="90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outlineLevel="1" x14ac:dyDescent="0.25">
      <c r="A9" s="1"/>
      <c r="B9" s="1"/>
      <c r="C9" s="2"/>
      <c r="D9" s="1"/>
      <c r="E9" s="1"/>
      <c r="F9" s="1"/>
      <c r="G9" s="1"/>
      <c r="H9" s="1"/>
      <c r="I9" s="8"/>
      <c r="J9" s="8"/>
      <c r="K9" s="8"/>
      <c r="L9" s="8"/>
      <c r="M9" s="8"/>
      <c r="N9" s="8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outlineLevel="1" x14ac:dyDescent="0.25">
      <c r="A10" s="1"/>
      <c r="B10" s="1"/>
      <c r="C10" s="2"/>
      <c r="D10" s="1"/>
      <c r="E10" s="1"/>
      <c r="F10" s="1"/>
      <c r="G10" s="3"/>
      <c r="H10" s="3" t="s">
        <v>259</v>
      </c>
      <c r="I10" s="79">
        <v>1</v>
      </c>
      <c r="J10" s="3"/>
      <c r="K10" s="1"/>
      <c r="L10" s="8"/>
      <c r="M10" s="8"/>
      <c r="N10" s="8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outlineLevel="1" x14ac:dyDescent="0.25">
      <c r="A11" s="1"/>
      <c r="B11" s="1"/>
      <c r="C11" s="2"/>
      <c r="D11" s="1"/>
      <c r="E11" s="1"/>
      <c r="F11" s="1"/>
      <c r="G11" s="1"/>
      <c r="H11" s="1"/>
      <c r="I11" s="8"/>
      <c r="J11" s="8"/>
      <c r="K11" s="8"/>
      <c r="L11" s="8"/>
      <c r="M11" s="8"/>
      <c r="N11" s="8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outlineLevel="1" x14ac:dyDescent="0.25">
      <c r="A12" s="14" t="s">
        <v>260</v>
      </c>
      <c r="B12" s="1"/>
      <c r="C12" s="2"/>
      <c r="D12" s="1"/>
      <c r="E12" s="1"/>
      <c r="F12" s="1"/>
      <c r="G12" s="1"/>
      <c r="H12" s="80"/>
      <c r="I12" s="81"/>
      <c r="J12" s="81"/>
      <c r="K12" s="81"/>
      <c r="L12" s="81"/>
      <c r="M12" s="81"/>
      <c r="N12" s="8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outlineLevel="1" x14ac:dyDescent="0.25">
      <c r="A13" s="94" t="s">
        <v>162</v>
      </c>
      <c r="B13" s="97"/>
      <c r="C13" s="102"/>
      <c r="D13" s="97"/>
      <c r="E13" s="117"/>
      <c r="F13" s="117"/>
      <c r="G13" s="117"/>
      <c r="H13" s="117"/>
      <c r="I13" s="139">
        <v>0.15</v>
      </c>
      <c r="J13" s="139">
        <v>0.15</v>
      </c>
      <c r="K13" s="139">
        <v>0.12</v>
      </c>
      <c r="L13" s="139">
        <v>0.1</v>
      </c>
      <c r="M13" s="139">
        <v>0.08</v>
      </c>
      <c r="N13" s="139">
        <v>0.06</v>
      </c>
      <c r="O13" s="139">
        <v>0.15</v>
      </c>
      <c r="P13" s="139">
        <v>0.15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outlineLevel="1" x14ac:dyDescent="0.25">
      <c r="A14" s="1" t="s">
        <v>163</v>
      </c>
      <c r="B14" s="1"/>
      <c r="C14" s="2"/>
      <c r="D14" s="22"/>
      <c r="E14" s="22"/>
      <c r="F14" s="22"/>
      <c r="G14" s="22"/>
      <c r="H14" s="22"/>
      <c r="I14" s="55">
        <v>0.42</v>
      </c>
      <c r="J14" s="55">
        <v>0.41</v>
      </c>
      <c r="K14" s="55">
        <v>0.4</v>
      </c>
      <c r="L14" s="55">
        <v>0.4</v>
      </c>
      <c r="M14" s="55">
        <v>0.4</v>
      </c>
      <c r="N14" s="55">
        <v>0.4</v>
      </c>
      <c r="O14" s="55">
        <v>0.42</v>
      </c>
      <c r="P14" s="55">
        <v>0.42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outlineLevel="1" x14ac:dyDescent="0.25">
      <c r="A15" s="1" t="s">
        <v>261</v>
      </c>
      <c r="B15" s="1"/>
      <c r="C15" s="2"/>
      <c r="D15" s="22"/>
      <c r="E15" s="22"/>
      <c r="F15" s="22"/>
      <c r="G15" s="22"/>
      <c r="H15" s="22"/>
      <c r="I15" s="55">
        <v>0.16</v>
      </c>
      <c r="J15" s="55">
        <v>0.16</v>
      </c>
      <c r="K15" s="55">
        <v>0.16</v>
      </c>
      <c r="L15" s="55">
        <v>0.16</v>
      </c>
      <c r="M15" s="55">
        <v>0.16</v>
      </c>
      <c r="N15" s="55">
        <v>0.16</v>
      </c>
      <c r="O15" s="55">
        <v>0.16</v>
      </c>
      <c r="P15" s="55">
        <v>0.16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outlineLevel="1" x14ac:dyDescent="0.25">
      <c r="A16" s="1" t="s">
        <v>262</v>
      </c>
      <c r="B16" s="1"/>
      <c r="C16" s="2"/>
      <c r="D16" s="1"/>
      <c r="E16" s="1"/>
      <c r="F16" s="1"/>
      <c r="G16" s="1"/>
      <c r="H16" s="1"/>
      <c r="I16" s="4">
        <v>7000</v>
      </c>
      <c r="J16" s="4">
        <v>7000</v>
      </c>
      <c r="K16" s="4">
        <v>7000</v>
      </c>
      <c r="L16" s="4">
        <v>7000</v>
      </c>
      <c r="M16" s="4">
        <v>7000</v>
      </c>
      <c r="N16" s="4">
        <v>7000</v>
      </c>
      <c r="O16" s="4">
        <v>7000</v>
      </c>
      <c r="P16" s="4">
        <v>7000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outlineLevel="1" x14ac:dyDescent="0.25">
      <c r="A17" s="1" t="s">
        <v>165</v>
      </c>
      <c r="B17" s="1"/>
      <c r="C17" s="2"/>
      <c r="D17" s="22"/>
      <c r="E17" s="22"/>
      <c r="F17" s="22"/>
      <c r="G17" s="22"/>
      <c r="H17" s="22"/>
      <c r="I17" s="55">
        <v>0.2</v>
      </c>
      <c r="J17" s="55">
        <v>0.2</v>
      </c>
      <c r="K17" s="55">
        <v>0.2</v>
      </c>
      <c r="L17" s="55">
        <v>0.2</v>
      </c>
      <c r="M17" s="55">
        <v>0.2</v>
      </c>
      <c r="N17" s="55">
        <v>0.2</v>
      </c>
      <c r="O17" s="55">
        <v>0.2</v>
      </c>
      <c r="P17" s="55">
        <v>0.2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outlineLevel="1" x14ac:dyDescent="0.25">
      <c r="A18" s="1" t="s">
        <v>263</v>
      </c>
      <c r="B18" s="1"/>
      <c r="C18" s="2"/>
      <c r="D18" s="22"/>
      <c r="E18" s="22"/>
      <c r="F18" s="22"/>
      <c r="G18" s="22"/>
      <c r="H18" s="22"/>
      <c r="I18" s="55">
        <v>0.08</v>
      </c>
      <c r="J18" s="55">
        <v>0.08</v>
      </c>
      <c r="K18" s="55">
        <v>0.08</v>
      </c>
      <c r="L18" s="55">
        <v>0.08</v>
      </c>
      <c r="M18" s="55">
        <v>0.08</v>
      </c>
      <c r="N18" s="55">
        <v>0.08</v>
      </c>
      <c r="O18" s="55">
        <v>0.08</v>
      </c>
      <c r="P18" s="55">
        <v>0.08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outlineLevel="1" x14ac:dyDescent="0.25">
      <c r="A19" s="1" t="s">
        <v>166</v>
      </c>
      <c r="B19" s="25"/>
      <c r="C19" s="26"/>
      <c r="D19" s="22"/>
      <c r="E19" s="22"/>
      <c r="F19" s="22"/>
      <c r="G19" s="22"/>
      <c r="H19" s="22"/>
      <c r="I19" s="55">
        <v>0.32</v>
      </c>
      <c r="J19" s="55">
        <v>0.32</v>
      </c>
      <c r="K19" s="55">
        <v>0.32</v>
      </c>
      <c r="L19" s="55">
        <v>0.32</v>
      </c>
      <c r="M19" s="55">
        <v>0.32</v>
      </c>
      <c r="N19" s="55">
        <v>0.32</v>
      </c>
      <c r="O19" s="55">
        <v>0.32</v>
      </c>
      <c r="P19" s="55">
        <v>0.32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outlineLevel="1" x14ac:dyDescent="0.25">
      <c r="A20" s="1" t="s">
        <v>167</v>
      </c>
      <c r="B20" s="1"/>
      <c r="C20" s="57"/>
      <c r="D20" s="1"/>
      <c r="E20" s="1"/>
      <c r="F20" s="1"/>
      <c r="G20" s="1"/>
      <c r="H20" s="1"/>
      <c r="I20" s="4">
        <v>22</v>
      </c>
      <c r="J20" s="4">
        <v>18</v>
      </c>
      <c r="K20" s="4">
        <v>18</v>
      </c>
      <c r="L20" s="4">
        <v>18</v>
      </c>
      <c r="M20" s="4">
        <v>18</v>
      </c>
      <c r="N20" s="4">
        <v>18</v>
      </c>
      <c r="O20" s="4">
        <v>22</v>
      </c>
      <c r="P20" s="4">
        <v>22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outlineLevel="1" x14ac:dyDescent="0.25">
      <c r="A21" s="1" t="s">
        <v>168</v>
      </c>
      <c r="B21" s="1"/>
      <c r="C21" s="57"/>
      <c r="D21" s="1"/>
      <c r="E21" s="1"/>
      <c r="F21" s="1"/>
      <c r="G21" s="1"/>
      <c r="H21" s="1"/>
      <c r="I21" s="4">
        <v>75</v>
      </c>
      <c r="J21" s="4">
        <v>75</v>
      </c>
      <c r="K21" s="4">
        <v>75</v>
      </c>
      <c r="L21" s="4">
        <v>75</v>
      </c>
      <c r="M21" s="4">
        <v>75</v>
      </c>
      <c r="N21" s="4">
        <v>75</v>
      </c>
      <c r="O21" s="4">
        <v>75</v>
      </c>
      <c r="P21" s="4">
        <v>75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outlineLevel="1" x14ac:dyDescent="0.25">
      <c r="A22" s="1" t="s">
        <v>169</v>
      </c>
      <c r="B22" s="1"/>
      <c r="C22" s="57"/>
      <c r="D22" s="1"/>
      <c r="E22" s="1"/>
      <c r="F22" s="1"/>
      <c r="G22" s="1"/>
      <c r="H22" s="1"/>
      <c r="I22" s="4">
        <v>39</v>
      </c>
      <c r="J22" s="4">
        <v>39</v>
      </c>
      <c r="K22" s="4">
        <v>39</v>
      </c>
      <c r="L22" s="4">
        <v>39</v>
      </c>
      <c r="M22" s="4">
        <v>39</v>
      </c>
      <c r="N22" s="4">
        <v>39</v>
      </c>
      <c r="O22" s="4">
        <v>39</v>
      </c>
      <c r="P22" s="4">
        <v>39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outlineLevel="1" x14ac:dyDescent="0.25">
      <c r="A23" s="1" t="s">
        <v>264</v>
      </c>
      <c r="B23" s="1"/>
      <c r="C23" s="2"/>
      <c r="D23" s="1"/>
      <c r="E23" s="1"/>
      <c r="F23" s="1"/>
      <c r="G23" s="1"/>
      <c r="H23" s="1"/>
      <c r="I23" s="4">
        <v>5750</v>
      </c>
      <c r="J23" s="4">
        <v>5750</v>
      </c>
      <c r="K23" s="4">
        <v>5750</v>
      </c>
      <c r="L23" s="4">
        <v>5750</v>
      </c>
      <c r="M23" s="4">
        <v>5750</v>
      </c>
      <c r="N23" s="4">
        <v>5750</v>
      </c>
      <c r="O23" s="4">
        <v>5750</v>
      </c>
      <c r="P23" s="4">
        <v>5750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outlineLevel="1" x14ac:dyDescent="0.25">
      <c r="A24" s="1" t="s">
        <v>265</v>
      </c>
      <c r="B24" s="1"/>
      <c r="C24" s="2"/>
      <c r="D24" s="1"/>
      <c r="E24" s="1"/>
      <c r="F24" s="1"/>
      <c r="G24" s="1"/>
      <c r="H24" s="1"/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-10000</v>
      </c>
      <c r="O24" s="4">
        <v>0</v>
      </c>
      <c r="P24" s="4">
        <v>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outlineLevel="1" x14ac:dyDescent="0.25">
      <c r="A25" s="1" t="s">
        <v>170</v>
      </c>
      <c r="B25" s="1"/>
      <c r="C25" s="2"/>
      <c r="D25" s="1"/>
      <c r="E25" s="1"/>
      <c r="F25" s="1"/>
      <c r="G25" s="1"/>
      <c r="H25" s="1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outlineLevel="1" x14ac:dyDescent="0.25">
      <c r="A26" s="1" t="s">
        <v>198</v>
      </c>
      <c r="B26" s="1"/>
      <c r="C26" s="2"/>
      <c r="D26" s="1"/>
      <c r="E26" s="1"/>
      <c r="F26" s="1"/>
      <c r="G26" s="1"/>
      <c r="H26" s="1"/>
      <c r="I26" s="4">
        <v>0</v>
      </c>
      <c r="J26" s="4">
        <v>0</v>
      </c>
      <c r="K26" s="4">
        <v>0</v>
      </c>
      <c r="L26" s="4">
        <v>0</v>
      </c>
      <c r="M26" s="4">
        <v>200</v>
      </c>
      <c r="N26" s="4">
        <v>200</v>
      </c>
      <c r="O26" s="4">
        <v>0</v>
      </c>
      <c r="P26" s="4">
        <v>0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outlineLevel="1" x14ac:dyDescent="0.25">
      <c r="A27" s="1"/>
      <c r="B27" s="1"/>
      <c r="C27" s="2"/>
      <c r="D27" s="1"/>
      <c r="E27" s="1"/>
      <c r="F27" s="1"/>
      <c r="G27" s="1"/>
      <c r="H27" s="1"/>
      <c r="I27" s="8"/>
      <c r="J27" s="8"/>
      <c r="K27" s="8"/>
      <c r="L27" s="8"/>
      <c r="M27" s="8"/>
      <c r="N27" s="8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outlineLevel="1" x14ac:dyDescent="0.25">
      <c r="A28" s="14" t="s">
        <v>266</v>
      </c>
      <c r="B28" s="1"/>
      <c r="C28" s="2"/>
      <c r="D28" s="1"/>
      <c r="E28" s="1"/>
      <c r="F28" s="1"/>
      <c r="G28" s="1"/>
      <c r="H28" s="80"/>
      <c r="I28" s="81"/>
      <c r="J28" s="81"/>
      <c r="K28" s="81"/>
      <c r="L28" s="81"/>
      <c r="M28" s="81"/>
      <c r="N28" s="8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outlineLevel="1" x14ac:dyDescent="0.25">
      <c r="A29" s="94" t="s">
        <v>162</v>
      </c>
      <c r="B29" s="97"/>
      <c r="C29" s="102"/>
      <c r="D29" s="97"/>
      <c r="E29" s="117"/>
      <c r="F29" s="117"/>
      <c r="G29" s="117"/>
      <c r="H29" s="117"/>
      <c r="I29" s="139">
        <v>0.05</v>
      </c>
      <c r="J29" s="139">
        <v>4.4999999999999998E-2</v>
      </c>
      <c r="K29" s="139">
        <v>0.04</v>
      </c>
      <c r="L29" s="139">
        <v>3.5000000000000003E-2</v>
      </c>
      <c r="M29" s="139">
        <v>0.03</v>
      </c>
      <c r="N29" s="139">
        <v>0.03</v>
      </c>
      <c r="O29" s="139">
        <v>0.05</v>
      </c>
      <c r="P29" s="139">
        <v>0.05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outlineLevel="1" x14ac:dyDescent="0.25">
      <c r="A30" s="1" t="s">
        <v>163</v>
      </c>
      <c r="B30" s="1"/>
      <c r="C30" s="2"/>
      <c r="D30" s="22"/>
      <c r="E30" s="22"/>
      <c r="F30" s="22"/>
      <c r="G30" s="22"/>
      <c r="H30" s="22"/>
      <c r="I30" s="55">
        <v>0.37</v>
      </c>
      <c r="J30" s="55">
        <v>0.37</v>
      </c>
      <c r="K30" s="55">
        <v>0.36</v>
      </c>
      <c r="L30" s="55">
        <v>0.36</v>
      </c>
      <c r="M30" s="55">
        <v>0.35</v>
      </c>
      <c r="N30" s="55">
        <v>0.35</v>
      </c>
      <c r="O30" s="55">
        <v>0.37</v>
      </c>
      <c r="P30" s="55">
        <v>0.37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outlineLevel="1" x14ac:dyDescent="0.25">
      <c r="A31" s="1" t="s">
        <v>261</v>
      </c>
      <c r="B31" s="1"/>
      <c r="C31" s="2"/>
      <c r="D31" s="22"/>
      <c r="E31" s="22"/>
      <c r="F31" s="22"/>
      <c r="G31" s="22"/>
      <c r="H31" s="22"/>
      <c r="I31" s="55">
        <v>0.17</v>
      </c>
      <c r="J31" s="55">
        <v>0.17</v>
      </c>
      <c r="K31" s="55">
        <v>0.17</v>
      </c>
      <c r="L31" s="55">
        <v>0.17</v>
      </c>
      <c r="M31" s="55">
        <v>0.17</v>
      </c>
      <c r="N31" s="55">
        <v>0.17</v>
      </c>
      <c r="O31" s="55">
        <v>0.17</v>
      </c>
      <c r="P31" s="55">
        <v>0.17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outlineLevel="1" x14ac:dyDescent="0.25">
      <c r="A32" s="1" t="s">
        <v>262</v>
      </c>
      <c r="B32" s="1"/>
      <c r="C32" s="2"/>
      <c r="D32" s="1"/>
      <c r="E32" s="1"/>
      <c r="F32" s="1"/>
      <c r="G32" s="1"/>
      <c r="H32" s="1"/>
      <c r="I32" s="4">
        <v>10000</v>
      </c>
      <c r="J32" s="4">
        <v>10000</v>
      </c>
      <c r="K32" s="4">
        <v>10000</v>
      </c>
      <c r="L32" s="4">
        <v>10000</v>
      </c>
      <c r="M32" s="4">
        <v>10000</v>
      </c>
      <c r="N32" s="4">
        <v>10000</v>
      </c>
      <c r="O32" s="4">
        <v>10000</v>
      </c>
      <c r="P32" s="4">
        <v>10000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outlineLevel="1" x14ac:dyDescent="0.25">
      <c r="A33" s="1" t="s">
        <v>165</v>
      </c>
      <c r="B33" s="1"/>
      <c r="C33" s="2"/>
      <c r="D33" s="22"/>
      <c r="E33" s="22"/>
      <c r="F33" s="22"/>
      <c r="G33" s="22"/>
      <c r="H33" s="22"/>
      <c r="I33" s="55">
        <v>0.2</v>
      </c>
      <c r="J33" s="55">
        <v>0.2</v>
      </c>
      <c r="K33" s="55">
        <v>0.2</v>
      </c>
      <c r="L33" s="55">
        <v>0.2</v>
      </c>
      <c r="M33" s="55">
        <v>0.2</v>
      </c>
      <c r="N33" s="55">
        <v>0.2</v>
      </c>
      <c r="O33" s="55">
        <v>0.2</v>
      </c>
      <c r="P33" s="55">
        <v>0.2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outlineLevel="1" x14ac:dyDescent="0.25">
      <c r="A34" s="1" t="s">
        <v>263</v>
      </c>
      <c r="B34" s="1"/>
      <c r="C34" s="2"/>
      <c r="D34" s="22"/>
      <c r="E34" s="22"/>
      <c r="F34" s="22"/>
      <c r="G34" s="22"/>
      <c r="H34" s="22"/>
      <c r="I34" s="55">
        <v>0.05</v>
      </c>
      <c r="J34" s="55">
        <v>0.05</v>
      </c>
      <c r="K34" s="55">
        <v>0.05</v>
      </c>
      <c r="L34" s="55">
        <v>0.05</v>
      </c>
      <c r="M34" s="55">
        <v>0.05</v>
      </c>
      <c r="N34" s="55">
        <v>0.05</v>
      </c>
      <c r="O34" s="55">
        <v>0.05</v>
      </c>
      <c r="P34" s="55">
        <v>0.05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outlineLevel="1" x14ac:dyDescent="0.25">
      <c r="A35" s="1" t="s">
        <v>166</v>
      </c>
      <c r="B35" s="25"/>
      <c r="C35" s="26"/>
      <c r="D35" s="22"/>
      <c r="E35" s="22"/>
      <c r="F35" s="22"/>
      <c r="G35" s="22"/>
      <c r="H35" s="22"/>
      <c r="I35" s="55">
        <v>0.28000000000000003</v>
      </c>
      <c r="J35" s="55">
        <v>0.28000000000000003</v>
      </c>
      <c r="K35" s="55">
        <v>0.28000000000000003</v>
      </c>
      <c r="L35" s="55">
        <v>0.28000000000000003</v>
      </c>
      <c r="M35" s="55">
        <v>0.28000000000000003</v>
      </c>
      <c r="N35" s="55">
        <v>0.28000000000000003</v>
      </c>
      <c r="O35" s="55">
        <v>0.28000000000000003</v>
      </c>
      <c r="P35" s="55">
        <v>0.28000000000000003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outlineLevel="1" x14ac:dyDescent="0.25">
      <c r="A36" s="1" t="s">
        <v>167</v>
      </c>
      <c r="B36" s="1"/>
      <c r="C36" s="57"/>
      <c r="D36" s="1"/>
      <c r="E36" s="1"/>
      <c r="F36" s="1"/>
      <c r="G36" s="1"/>
      <c r="H36" s="1"/>
      <c r="I36" s="4">
        <v>18</v>
      </c>
      <c r="J36" s="4">
        <v>18</v>
      </c>
      <c r="K36" s="4">
        <v>18</v>
      </c>
      <c r="L36" s="4">
        <v>18</v>
      </c>
      <c r="M36" s="4">
        <v>18</v>
      </c>
      <c r="N36" s="4">
        <v>18</v>
      </c>
      <c r="O36" s="4">
        <v>18</v>
      </c>
      <c r="P36" s="4">
        <v>18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outlineLevel="1" x14ac:dyDescent="0.25">
      <c r="A37" s="1" t="s">
        <v>168</v>
      </c>
      <c r="B37" s="1"/>
      <c r="C37" s="57"/>
      <c r="D37" s="1"/>
      <c r="E37" s="1"/>
      <c r="F37" s="1"/>
      <c r="G37" s="1"/>
      <c r="H37" s="1"/>
      <c r="I37" s="4">
        <v>73</v>
      </c>
      <c r="J37" s="4">
        <v>73</v>
      </c>
      <c r="K37" s="4">
        <v>73</v>
      </c>
      <c r="L37" s="4">
        <v>73</v>
      </c>
      <c r="M37" s="4">
        <v>73</v>
      </c>
      <c r="N37" s="4">
        <v>73</v>
      </c>
      <c r="O37" s="4">
        <v>73</v>
      </c>
      <c r="P37" s="4">
        <v>73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outlineLevel="1" x14ac:dyDescent="0.25">
      <c r="A38" s="1" t="s">
        <v>169</v>
      </c>
      <c r="B38" s="1"/>
      <c r="C38" s="57"/>
      <c r="D38" s="1"/>
      <c r="E38" s="1"/>
      <c r="F38" s="1"/>
      <c r="G38" s="1"/>
      <c r="H38" s="1"/>
      <c r="I38" s="4">
        <v>37</v>
      </c>
      <c r="J38" s="4">
        <v>37</v>
      </c>
      <c r="K38" s="4">
        <v>37</v>
      </c>
      <c r="L38" s="4">
        <v>37</v>
      </c>
      <c r="M38" s="4">
        <v>37</v>
      </c>
      <c r="N38" s="4">
        <v>37</v>
      </c>
      <c r="O38" s="4">
        <v>37</v>
      </c>
      <c r="P38" s="4">
        <v>37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outlineLevel="1" x14ac:dyDescent="0.25">
      <c r="A39" s="1" t="s">
        <v>264</v>
      </c>
      <c r="B39" s="1"/>
      <c r="C39" s="2"/>
      <c r="D39" s="1"/>
      <c r="E39" s="1"/>
      <c r="F39" s="1"/>
      <c r="G39" s="1"/>
      <c r="H39" s="1"/>
      <c r="I39" s="4">
        <v>15000</v>
      </c>
      <c r="J39" s="4">
        <v>15000</v>
      </c>
      <c r="K39" s="4">
        <v>15000</v>
      </c>
      <c r="L39" s="4">
        <v>15000</v>
      </c>
      <c r="M39" s="4">
        <v>15000</v>
      </c>
      <c r="N39" s="4">
        <v>15000</v>
      </c>
      <c r="O39" s="4">
        <v>15000</v>
      </c>
      <c r="P39" s="4">
        <v>15000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outlineLevel="1" x14ac:dyDescent="0.25">
      <c r="A40" s="1" t="s">
        <v>265</v>
      </c>
      <c r="B40" s="1"/>
      <c r="C40" s="2"/>
      <c r="D40" s="1"/>
      <c r="E40" s="1"/>
      <c r="F40" s="1"/>
      <c r="G40" s="1"/>
      <c r="H40" s="1"/>
      <c r="I40" s="4">
        <v>0</v>
      </c>
      <c r="J40" s="4">
        <v>0</v>
      </c>
      <c r="K40" s="4">
        <v>-20000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outlineLevel="1" x14ac:dyDescent="0.25">
      <c r="A41" s="1" t="s">
        <v>170</v>
      </c>
      <c r="B41" s="1"/>
      <c r="C41" s="2"/>
      <c r="D41" s="1"/>
      <c r="E41" s="1"/>
      <c r="F41" s="1"/>
      <c r="G41" s="1"/>
      <c r="H41" s="1"/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outlineLevel="1" x14ac:dyDescent="0.25">
      <c r="A42" s="1" t="s">
        <v>198</v>
      </c>
      <c r="B42" s="1"/>
      <c r="C42" s="2"/>
      <c r="D42" s="1"/>
      <c r="E42" s="1"/>
      <c r="F42" s="1"/>
      <c r="G42" s="1"/>
      <c r="H42" s="1"/>
      <c r="I42" s="4">
        <v>0</v>
      </c>
      <c r="J42" s="4">
        <v>0</v>
      </c>
      <c r="K42" s="4">
        <v>0</v>
      </c>
      <c r="L42" s="4">
        <v>0</v>
      </c>
      <c r="M42" s="4">
        <v>100</v>
      </c>
      <c r="N42" s="4">
        <v>100</v>
      </c>
      <c r="O42" s="4">
        <v>0</v>
      </c>
      <c r="P42" s="4">
        <v>0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outlineLevel="1" x14ac:dyDescent="0.25">
      <c r="A43" s="1"/>
      <c r="B43" s="1"/>
      <c r="C43" s="2"/>
      <c r="D43" s="1"/>
      <c r="E43" s="1"/>
      <c r="F43" s="1"/>
      <c r="G43" s="1"/>
      <c r="H43" s="1"/>
      <c r="I43" s="8"/>
      <c r="J43" s="8"/>
      <c r="K43" s="8"/>
      <c r="L43" s="8"/>
      <c r="M43" s="8"/>
      <c r="N43" s="8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outlineLevel="1" x14ac:dyDescent="0.25">
      <c r="A44" s="14" t="s">
        <v>259</v>
      </c>
      <c r="B44" s="1"/>
      <c r="C44" s="2"/>
      <c r="D44" s="1"/>
      <c r="E44" s="1"/>
      <c r="F44" s="1"/>
      <c r="G44" s="1"/>
      <c r="H44" s="1"/>
      <c r="I44" s="8"/>
      <c r="J44" s="8"/>
      <c r="K44" s="8"/>
      <c r="L44" s="8"/>
      <c r="M44" s="8"/>
      <c r="N44" s="8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outlineLevel="1" x14ac:dyDescent="0.25">
      <c r="A45" s="94" t="s">
        <v>162</v>
      </c>
      <c r="B45" s="97"/>
      <c r="C45" s="102"/>
      <c r="D45" s="150"/>
      <c r="E45" s="150"/>
      <c r="F45" s="150"/>
      <c r="G45" s="150"/>
      <c r="H45" s="150"/>
      <c r="I45" s="163">
        <v>0.15</v>
      </c>
      <c r="J45" s="163">
        <v>0.15</v>
      </c>
      <c r="K45" s="163">
        <v>0.12</v>
      </c>
      <c r="L45" s="163">
        <v>0.1</v>
      </c>
      <c r="M45" s="163">
        <v>0.08</v>
      </c>
      <c r="N45" s="163">
        <v>0.06</v>
      </c>
      <c r="O45" s="163">
        <v>0.15</v>
      </c>
      <c r="P45" s="163">
        <v>0.15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outlineLevel="1" x14ac:dyDescent="0.25">
      <c r="A46" s="1" t="s">
        <v>163</v>
      </c>
      <c r="B46" s="1"/>
      <c r="C46" s="2"/>
      <c r="D46" s="22"/>
      <c r="E46" s="22"/>
      <c r="F46" s="22"/>
      <c r="G46" s="22"/>
      <c r="H46" s="22"/>
      <c r="I46" s="164">
        <v>0.42</v>
      </c>
      <c r="J46" s="164">
        <v>0.41</v>
      </c>
      <c r="K46" s="164">
        <v>0.4</v>
      </c>
      <c r="L46" s="164">
        <v>0.4</v>
      </c>
      <c r="M46" s="164">
        <v>0.4</v>
      </c>
      <c r="N46" s="164">
        <v>0.4</v>
      </c>
      <c r="O46" s="164">
        <v>0.42</v>
      </c>
      <c r="P46" s="164">
        <v>0.42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outlineLevel="1" x14ac:dyDescent="0.25">
      <c r="A47" s="1" t="s">
        <v>164</v>
      </c>
      <c r="B47" s="1"/>
      <c r="C47" s="2"/>
      <c r="D47" s="22"/>
      <c r="E47" s="22"/>
      <c r="F47" s="22"/>
      <c r="G47" s="22"/>
      <c r="H47" s="22"/>
      <c r="I47" s="164">
        <v>0.16</v>
      </c>
      <c r="J47" s="164">
        <v>0.16</v>
      </c>
      <c r="K47" s="164">
        <v>0.16</v>
      </c>
      <c r="L47" s="164">
        <v>0.16</v>
      </c>
      <c r="M47" s="164">
        <v>0.16</v>
      </c>
      <c r="N47" s="164">
        <v>0.16</v>
      </c>
      <c r="O47" s="164">
        <v>0.16</v>
      </c>
      <c r="P47" s="164">
        <v>0.16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outlineLevel="1" x14ac:dyDescent="0.25">
      <c r="A48" s="1" t="s">
        <v>267</v>
      </c>
      <c r="B48" s="1"/>
      <c r="C48" s="2"/>
      <c r="D48" s="1"/>
      <c r="E48" s="1"/>
      <c r="F48" s="1"/>
      <c r="G48" s="1"/>
      <c r="H48" s="1"/>
      <c r="I48" s="165">
        <v>7000</v>
      </c>
      <c r="J48" s="165">
        <v>7000</v>
      </c>
      <c r="K48" s="165">
        <v>7000</v>
      </c>
      <c r="L48" s="165">
        <v>7000</v>
      </c>
      <c r="M48" s="165">
        <v>7000</v>
      </c>
      <c r="N48" s="165">
        <v>7000</v>
      </c>
      <c r="O48" s="165">
        <v>7000</v>
      </c>
      <c r="P48" s="165">
        <v>7000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outlineLevel="1" x14ac:dyDescent="0.25">
      <c r="A49" s="1" t="s">
        <v>165</v>
      </c>
      <c r="B49" s="1"/>
      <c r="C49" s="2"/>
      <c r="D49" s="22"/>
      <c r="E49" s="22"/>
      <c r="F49" s="22"/>
      <c r="G49" s="22"/>
      <c r="H49" s="22"/>
      <c r="I49" s="164">
        <v>0.2</v>
      </c>
      <c r="J49" s="164">
        <v>0.2</v>
      </c>
      <c r="K49" s="164">
        <v>0.2</v>
      </c>
      <c r="L49" s="164">
        <v>0.2</v>
      </c>
      <c r="M49" s="164">
        <v>0.2</v>
      </c>
      <c r="N49" s="164">
        <v>0.2</v>
      </c>
      <c r="O49" s="164">
        <v>0.2</v>
      </c>
      <c r="P49" s="164">
        <v>0.2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outlineLevel="1" x14ac:dyDescent="0.25">
      <c r="A50" s="1" t="s">
        <v>263</v>
      </c>
      <c r="B50" s="1"/>
      <c r="C50" s="2"/>
      <c r="D50" s="22"/>
      <c r="E50" s="22"/>
      <c r="F50" s="22"/>
      <c r="G50" s="22"/>
      <c r="H50" s="22"/>
      <c r="I50" s="164">
        <v>0.08</v>
      </c>
      <c r="J50" s="164">
        <v>0.08</v>
      </c>
      <c r="K50" s="164">
        <v>0.08</v>
      </c>
      <c r="L50" s="164">
        <v>0.08</v>
      </c>
      <c r="M50" s="164">
        <v>0.08</v>
      </c>
      <c r="N50" s="164">
        <v>0.08</v>
      </c>
      <c r="O50" s="164">
        <v>0.08</v>
      </c>
      <c r="P50" s="164">
        <v>0.08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outlineLevel="1" x14ac:dyDescent="0.25">
      <c r="A51" s="1" t="s">
        <v>166</v>
      </c>
      <c r="B51" s="25"/>
      <c r="C51" s="26"/>
      <c r="D51" s="22"/>
      <c r="E51" s="22"/>
      <c r="F51" s="22"/>
      <c r="G51" s="22"/>
      <c r="H51" s="22"/>
      <c r="I51" s="164">
        <v>0.32</v>
      </c>
      <c r="J51" s="164">
        <v>0.32</v>
      </c>
      <c r="K51" s="164">
        <v>0.32</v>
      </c>
      <c r="L51" s="164">
        <v>0.32</v>
      </c>
      <c r="M51" s="164">
        <v>0.32</v>
      </c>
      <c r="N51" s="164">
        <v>0.32</v>
      </c>
      <c r="O51" s="164">
        <v>0.32</v>
      </c>
      <c r="P51" s="164">
        <v>0.32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outlineLevel="1" x14ac:dyDescent="0.25">
      <c r="A52" s="1" t="s">
        <v>167</v>
      </c>
      <c r="B52" s="1"/>
      <c r="C52" s="57"/>
      <c r="D52" s="1"/>
      <c r="E52" s="1"/>
      <c r="F52" s="1"/>
      <c r="G52" s="1"/>
      <c r="H52" s="1"/>
      <c r="I52" s="166">
        <v>22</v>
      </c>
      <c r="J52" s="166">
        <v>18</v>
      </c>
      <c r="K52" s="166">
        <v>18</v>
      </c>
      <c r="L52" s="166">
        <v>18</v>
      </c>
      <c r="M52" s="166">
        <v>18</v>
      </c>
      <c r="N52" s="166">
        <v>18</v>
      </c>
      <c r="O52" s="166">
        <v>22</v>
      </c>
      <c r="P52" s="166">
        <v>22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outlineLevel="1" x14ac:dyDescent="0.25">
      <c r="A53" s="1" t="s">
        <v>168</v>
      </c>
      <c r="B53" s="1"/>
      <c r="C53" s="57"/>
      <c r="D53" s="1"/>
      <c r="E53" s="1"/>
      <c r="F53" s="1"/>
      <c r="G53" s="1"/>
      <c r="H53" s="1"/>
      <c r="I53" s="166">
        <v>75</v>
      </c>
      <c r="J53" s="166">
        <v>75</v>
      </c>
      <c r="K53" s="166">
        <v>75</v>
      </c>
      <c r="L53" s="166">
        <v>75</v>
      </c>
      <c r="M53" s="166">
        <v>75</v>
      </c>
      <c r="N53" s="166">
        <v>75</v>
      </c>
      <c r="O53" s="166">
        <v>75</v>
      </c>
      <c r="P53" s="166">
        <v>75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outlineLevel="1" x14ac:dyDescent="0.25">
      <c r="A54" s="1" t="s">
        <v>169</v>
      </c>
      <c r="B54" s="1"/>
      <c r="C54" s="57"/>
      <c r="D54" s="1"/>
      <c r="E54" s="1"/>
      <c r="F54" s="1"/>
      <c r="G54" s="1"/>
      <c r="H54" s="1"/>
      <c r="I54" s="166">
        <v>39</v>
      </c>
      <c r="J54" s="166">
        <v>39</v>
      </c>
      <c r="K54" s="166">
        <v>39</v>
      </c>
      <c r="L54" s="166">
        <v>39</v>
      </c>
      <c r="M54" s="166">
        <v>39</v>
      </c>
      <c r="N54" s="166">
        <v>39</v>
      </c>
      <c r="O54" s="166">
        <v>39</v>
      </c>
      <c r="P54" s="166">
        <v>39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outlineLevel="1" x14ac:dyDescent="0.25">
      <c r="A55" s="1" t="s">
        <v>264</v>
      </c>
      <c r="B55" s="1"/>
      <c r="C55" s="2"/>
      <c r="D55" s="1"/>
      <c r="E55" s="1"/>
      <c r="F55" s="1"/>
      <c r="G55" s="1"/>
      <c r="H55" s="1"/>
      <c r="I55" s="166">
        <v>5750</v>
      </c>
      <c r="J55" s="166">
        <v>5750</v>
      </c>
      <c r="K55" s="166">
        <v>5750</v>
      </c>
      <c r="L55" s="166">
        <v>5750</v>
      </c>
      <c r="M55" s="166">
        <v>5750</v>
      </c>
      <c r="N55" s="166">
        <v>5750</v>
      </c>
      <c r="O55" s="166">
        <v>5750</v>
      </c>
      <c r="P55" s="166">
        <v>5750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outlineLevel="1" x14ac:dyDescent="0.25">
      <c r="A56" s="1" t="s">
        <v>265</v>
      </c>
      <c r="B56" s="1"/>
      <c r="C56" s="2"/>
      <c r="D56" s="1"/>
      <c r="E56" s="1"/>
      <c r="F56" s="1"/>
      <c r="G56" s="1"/>
      <c r="H56" s="1"/>
      <c r="I56" s="166">
        <v>0</v>
      </c>
      <c r="J56" s="166">
        <v>0</v>
      </c>
      <c r="K56" s="166">
        <v>0</v>
      </c>
      <c r="L56" s="166">
        <v>0</v>
      </c>
      <c r="M56" s="166">
        <v>0</v>
      </c>
      <c r="N56" s="166">
        <v>-10000</v>
      </c>
      <c r="O56" s="166">
        <v>0</v>
      </c>
      <c r="P56" s="166">
        <v>0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outlineLevel="1" x14ac:dyDescent="0.25">
      <c r="A57" s="1" t="s">
        <v>170</v>
      </c>
      <c r="B57" s="1"/>
      <c r="C57" s="2"/>
      <c r="D57" s="1"/>
      <c r="E57" s="1"/>
      <c r="F57" s="1"/>
      <c r="G57" s="1"/>
      <c r="H57" s="1"/>
      <c r="I57" s="166">
        <v>0</v>
      </c>
      <c r="J57" s="166">
        <v>0</v>
      </c>
      <c r="K57" s="166">
        <v>0</v>
      </c>
      <c r="L57" s="166">
        <v>0</v>
      </c>
      <c r="M57" s="166">
        <v>0</v>
      </c>
      <c r="N57" s="166">
        <v>0</v>
      </c>
      <c r="O57" s="166">
        <v>0</v>
      </c>
      <c r="P57" s="166">
        <v>0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outlineLevel="1" x14ac:dyDescent="0.25">
      <c r="A58" s="1" t="s">
        <v>198</v>
      </c>
      <c r="B58" s="1"/>
      <c r="C58" s="2"/>
      <c r="D58" s="1"/>
      <c r="E58" s="1"/>
      <c r="F58" s="1"/>
      <c r="G58" s="1"/>
      <c r="H58" s="1"/>
      <c r="I58" s="166">
        <v>0</v>
      </c>
      <c r="J58" s="166">
        <v>0</v>
      </c>
      <c r="K58" s="166">
        <v>0</v>
      </c>
      <c r="L58" s="166">
        <v>0</v>
      </c>
      <c r="M58" s="166">
        <v>200</v>
      </c>
      <c r="N58" s="166">
        <v>200</v>
      </c>
      <c r="O58" s="166">
        <v>0</v>
      </c>
      <c r="P58" s="166">
        <v>0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outlineLevel="1" x14ac:dyDescent="0.25">
      <c r="A59" s="1"/>
      <c r="B59" s="1"/>
      <c r="C59" s="2"/>
      <c r="D59" s="1"/>
      <c r="E59" s="1"/>
      <c r="F59" s="1"/>
      <c r="G59" s="1"/>
      <c r="H59" s="1"/>
      <c r="I59" s="8"/>
      <c r="J59" s="8"/>
      <c r="K59" s="8"/>
      <c r="L59" s="8"/>
      <c r="M59" s="8"/>
      <c r="N59" s="8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x14ac:dyDescent="0.25">
      <c r="A60" s="1"/>
      <c r="B60" s="1"/>
      <c r="C60" s="2"/>
      <c r="D60" s="1"/>
      <c r="E60" s="1"/>
      <c r="F60" s="1"/>
      <c r="G60" s="1"/>
      <c r="H60" s="1"/>
      <c r="I60" s="8"/>
      <c r="J60" s="8"/>
      <c r="K60" s="8"/>
      <c r="L60" s="8"/>
      <c r="M60" s="8"/>
      <c r="N60" s="8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x14ac:dyDescent="0.35">
      <c r="A61" s="88" t="s">
        <v>172</v>
      </c>
      <c r="B61" s="89"/>
      <c r="C61" s="90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outlineLevel="1" x14ac:dyDescent="0.25">
      <c r="A62" s="14"/>
      <c r="B62" s="14"/>
      <c r="C62" s="58"/>
      <c r="D62" s="51"/>
      <c r="E62" s="51"/>
      <c r="F62" s="51"/>
      <c r="G62" s="51"/>
      <c r="H62" s="51"/>
      <c r="I62" s="14"/>
      <c r="J62" s="14"/>
      <c r="K62" s="14"/>
      <c r="L62" s="14"/>
      <c r="M62" s="14"/>
      <c r="N62" s="14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outlineLevel="1" x14ac:dyDescent="0.25">
      <c r="A63" s="14" t="s">
        <v>173</v>
      </c>
      <c r="B63" s="14"/>
      <c r="C63" s="58"/>
      <c r="D63" s="150">
        <v>57127.576164874547</v>
      </c>
      <c r="E63" s="150">
        <v>66132.392473118278</v>
      </c>
      <c r="F63" s="150">
        <v>73557.907706093189</v>
      </c>
      <c r="G63" s="150">
        <v>79716.06182795699</v>
      </c>
      <c r="H63" s="150">
        <v>84437.724014336913</v>
      </c>
      <c r="I63" s="14">
        <f>H63*1.15</f>
        <v>97103.382616487448</v>
      </c>
      <c r="J63" s="14">
        <f>I63*1.15</f>
        <v>111668.89000896056</v>
      </c>
      <c r="K63" s="14">
        <f>J63*1.12</f>
        <v>125069.15681003584</v>
      </c>
      <c r="L63" s="14">
        <f>K63*1.1</f>
        <v>137576.07249103943</v>
      </c>
      <c r="M63" s="14">
        <f>L63*1.08</f>
        <v>148582.15829032261</v>
      </c>
      <c r="N63" s="14">
        <f>M63*1.06</f>
        <v>157497.08778774197</v>
      </c>
      <c r="O63" s="82">
        <f>N63*1.15</f>
        <v>181121.65095590326</v>
      </c>
      <c r="P63" s="82">
        <f>O63*1.15</f>
        <v>208289.89859928872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outlineLevel="1" x14ac:dyDescent="0.25">
      <c r="A64" s="1" t="s">
        <v>174</v>
      </c>
      <c r="B64" s="1"/>
      <c r="C64" s="2"/>
      <c r="D64" s="149">
        <v>21854.278673835124</v>
      </c>
      <c r="E64" s="149">
        <v>26883.960573476703</v>
      </c>
      <c r="F64" s="149">
        <v>27510.640681003584</v>
      </c>
      <c r="G64" s="149">
        <v>29488.127240143367</v>
      </c>
      <c r="H64" s="149">
        <v>31759.632616487455</v>
      </c>
      <c r="I64" s="60">
        <f t="shared" ref="I64:N64" si="6">I63*(I46)</f>
        <v>40783.420698924725</v>
      </c>
      <c r="J64" s="60">
        <f t="shared" si="6"/>
        <v>45784.244903673825</v>
      </c>
      <c r="K64" s="60">
        <f t="shared" si="6"/>
        <v>50027.662724014343</v>
      </c>
      <c r="L64" s="60">
        <f t="shared" si="6"/>
        <v>55030.42899641578</v>
      </c>
      <c r="M64" s="60">
        <f t="shared" si="6"/>
        <v>59432.863316129049</v>
      </c>
      <c r="N64" s="60">
        <f t="shared" si="6"/>
        <v>62998.835115096794</v>
      </c>
      <c r="O64" s="63">
        <f>O63*O46</f>
        <v>76071.09340147936</v>
      </c>
      <c r="P64" s="63">
        <f>P63*P46</f>
        <v>87481.757411701255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outlineLevel="1" x14ac:dyDescent="0.25">
      <c r="A65" s="97" t="s">
        <v>175</v>
      </c>
      <c r="B65" s="97"/>
      <c r="C65" s="102"/>
      <c r="D65" s="97">
        <f t="shared" ref="D65:P65" si="7">D63-D64</f>
        <v>35273.297491039426</v>
      </c>
      <c r="E65" s="97">
        <f t="shared" si="7"/>
        <v>39248.431899641575</v>
      </c>
      <c r="F65" s="97">
        <f t="shared" si="7"/>
        <v>46047.267025089604</v>
      </c>
      <c r="G65" s="97">
        <f t="shared" si="7"/>
        <v>50227.934587813623</v>
      </c>
      <c r="H65" s="97">
        <f t="shared" si="7"/>
        <v>52678.091397849457</v>
      </c>
      <c r="I65" s="97">
        <f t="shared" si="7"/>
        <v>56319.961917562723</v>
      </c>
      <c r="J65" s="97">
        <f t="shared" si="7"/>
        <v>65884.645105286734</v>
      </c>
      <c r="K65" s="97">
        <f t="shared" si="7"/>
        <v>75041.494086021499</v>
      </c>
      <c r="L65" s="97">
        <f t="shared" si="7"/>
        <v>82545.643494623655</v>
      </c>
      <c r="M65" s="97">
        <f t="shared" si="7"/>
        <v>89149.294974193559</v>
      </c>
      <c r="N65" s="97">
        <f t="shared" si="7"/>
        <v>94498.252672645176</v>
      </c>
      <c r="O65" s="97">
        <f t="shared" si="7"/>
        <v>105050.5575544239</v>
      </c>
      <c r="P65" s="97">
        <f t="shared" si="7"/>
        <v>120808.14118758746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outlineLevel="1" x14ac:dyDescent="0.25">
      <c r="A66" s="14" t="s">
        <v>176</v>
      </c>
      <c r="B66" s="14"/>
      <c r="C66" s="58"/>
      <c r="D66" s="59"/>
      <c r="E66" s="59"/>
      <c r="F66" s="59"/>
      <c r="G66" s="59"/>
      <c r="H66" s="59"/>
      <c r="I66" s="59"/>
      <c r="J66" s="59"/>
      <c r="K66" s="59"/>
      <c r="L66" s="14"/>
      <c r="M66" s="14"/>
      <c r="N66" s="14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outlineLevel="1" x14ac:dyDescent="0.25">
      <c r="A67" s="1" t="s">
        <v>177</v>
      </c>
      <c r="B67" s="1"/>
      <c r="C67" s="2"/>
      <c r="D67" s="149">
        <v>14800.067204301075</v>
      </c>
      <c r="E67" s="149">
        <v>12689.292114695339</v>
      </c>
      <c r="F67" s="149">
        <v>13369.175627240144</v>
      </c>
      <c r="G67" s="149">
        <v>12881.944444444442</v>
      </c>
      <c r="H67" s="149">
        <v>14138.104838709674</v>
      </c>
      <c r="I67" s="1">
        <f t="shared" ref="I67:N67" si="8">I63*I47</f>
        <v>15536.541218637993</v>
      </c>
      <c r="J67" s="1">
        <f t="shared" si="8"/>
        <v>17867.022401433689</v>
      </c>
      <c r="K67" s="1">
        <f t="shared" si="8"/>
        <v>20011.065089605734</v>
      </c>
      <c r="L67" s="1">
        <f t="shared" si="8"/>
        <v>22012.17159856631</v>
      </c>
      <c r="M67" s="1">
        <f t="shared" si="8"/>
        <v>23773.145326451617</v>
      </c>
      <c r="N67" s="1">
        <f t="shared" si="8"/>
        <v>25199.534046038716</v>
      </c>
      <c r="O67" s="1">
        <f>O63*O47</f>
        <v>28979.464152944522</v>
      </c>
      <c r="P67" s="1">
        <f>P63*P47</f>
        <v>33326.383775886192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outlineLevel="1" x14ac:dyDescent="0.25">
      <c r="A68" s="1" t="s">
        <v>178</v>
      </c>
      <c r="B68" s="1"/>
      <c r="C68" s="2"/>
      <c r="D68" s="149">
        <v>6139.6729390681003</v>
      </c>
      <c r="E68" s="149">
        <v>5670.3629032258059</v>
      </c>
      <c r="F68" s="149">
        <v>5649.0815412186375</v>
      </c>
      <c r="G68" s="149">
        <v>6171.5949820788537</v>
      </c>
      <c r="H68" s="149">
        <v>6391.1290322580644</v>
      </c>
      <c r="I68" s="1">
        <f t="shared" ref="I68:P68" si="9">I48</f>
        <v>7000</v>
      </c>
      <c r="J68" s="1">
        <f t="shared" si="9"/>
        <v>7000</v>
      </c>
      <c r="K68" s="1">
        <f t="shared" si="9"/>
        <v>7000</v>
      </c>
      <c r="L68" s="1">
        <f t="shared" si="9"/>
        <v>7000</v>
      </c>
      <c r="M68" s="1">
        <f t="shared" si="9"/>
        <v>7000</v>
      </c>
      <c r="N68" s="1">
        <f t="shared" si="9"/>
        <v>7000</v>
      </c>
      <c r="O68" s="1">
        <f t="shared" si="9"/>
        <v>7000</v>
      </c>
      <c r="P68" s="1">
        <f t="shared" si="9"/>
        <v>7000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outlineLevel="1" x14ac:dyDescent="0.25">
      <c r="A69" s="1" t="s">
        <v>179</v>
      </c>
      <c r="B69" s="1"/>
      <c r="C69" s="2"/>
      <c r="D69" s="149">
        <v>10920.698924731183</v>
      </c>
      <c r="E69" s="149">
        <v>10164.650537634408</v>
      </c>
      <c r="F69" s="149">
        <v>9635.4166666666661</v>
      </c>
      <c r="G69" s="149">
        <v>9264.9529569892475</v>
      </c>
      <c r="H69" s="149">
        <v>9005.6283602150525</v>
      </c>
      <c r="I69" s="1">
        <v>4202.6265681003588</v>
      </c>
      <c r="J69" s="1">
        <v>4512.101254480287</v>
      </c>
      <c r="K69" s="1">
        <v>4759.68100358423</v>
      </c>
      <c r="L69" s="1">
        <v>4957.7448028673844</v>
      </c>
      <c r="M69" s="1">
        <v>5116.1958422939078</v>
      </c>
      <c r="N69" s="1">
        <v>5242.9566738351268</v>
      </c>
      <c r="O69" s="1">
        <v>5344.4000000000005</v>
      </c>
      <c r="P69" s="1">
        <v>5426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outlineLevel="1" x14ac:dyDescent="0.25">
      <c r="A70" s="9" t="s">
        <v>180</v>
      </c>
      <c r="B70" s="9"/>
      <c r="C70" s="10"/>
      <c r="D70" s="149">
        <v>1400.089605734767</v>
      </c>
      <c r="E70" s="149">
        <v>1400.089605734767</v>
      </c>
      <c r="F70" s="149">
        <v>840.05376344086017</v>
      </c>
      <c r="G70" s="149">
        <v>840.05376344086017</v>
      </c>
      <c r="H70" s="149">
        <v>840.05376344086017</v>
      </c>
      <c r="I70" s="9">
        <v>1344.0860215053763</v>
      </c>
      <c r="J70" s="9">
        <v>1344.0860215053763</v>
      </c>
      <c r="K70" s="9">
        <v>1344.0860215053763</v>
      </c>
      <c r="L70" s="9">
        <v>1344.0860215053763</v>
      </c>
      <c r="M70" s="9">
        <v>1344.0860215053763</v>
      </c>
      <c r="N70" s="9">
        <v>544.08602150537627</v>
      </c>
      <c r="O70" s="9">
        <v>544.08000000000004</v>
      </c>
      <c r="P70" s="9">
        <v>544.08000000000004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outlineLevel="1" x14ac:dyDescent="0.25">
      <c r="A71" s="14" t="s">
        <v>181</v>
      </c>
      <c r="B71" s="1"/>
      <c r="C71" s="2"/>
      <c r="D71" s="174">
        <f t="shared" ref="D71:P71" si="10">SUM(D67:D70)</f>
        <v>33260.528673835121</v>
      </c>
      <c r="E71" s="174">
        <f t="shared" si="10"/>
        <v>29924.395161290322</v>
      </c>
      <c r="F71" s="174">
        <f t="shared" si="10"/>
        <v>29493.727598566307</v>
      </c>
      <c r="G71" s="174">
        <f t="shared" si="10"/>
        <v>29158.546146953406</v>
      </c>
      <c r="H71" s="174">
        <f t="shared" si="10"/>
        <v>30374.915994623654</v>
      </c>
      <c r="I71" s="14">
        <f t="shared" si="10"/>
        <v>28083.253808243724</v>
      </c>
      <c r="J71" s="14">
        <f t="shared" si="10"/>
        <v>30723.209677419352</v>
      </c>
      <c r="K71" s="14">
        <f t="shared" si="10"/>
        <v>33114.832114695339</v>
      </c>
      <c r="L71" s="14">
        <f t="shared" si="10"/>
        <v>35314.002422939069</v>
      </c>
      <c r="M71" s="14">
        <f t="shared" si="10"/>
        <v>37233.427190250899</v>
      </c>
      <c r="N71" s="14">
        <f t="shared" si="10"/>
        <v>37986.57674137922</v>
      </c>
      <c r="O71" s="14">
        <f t="shared" si="10"/>
        <v>41867.944152944525</v>
      </c>
      <c r="P71" s="14">
        <f t="shared" si="10"/>
        <v>46296.463775886194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outlineLevel="1" x14ac:dyDescent="0.25">
      <c r="A72" s="97" t="s">
        <v>182</v>
      </c>
      <c r="B72" s="97"/>
      <c r="C72" s="102"/>
      <c r="D72" s="97">
        <f t="shared" ref="D72:P72" si="11">D65-D71</f>
        <v>2012.7688172043054</v>
      </c>
      <c r="E72" s="97">
        <f t="shared" si="11"/>
        <v>9324.036738351253</v>
      </c>
      <c r="F72" s="97">
        <f t="shared" si="11"/>
        <v>16553.539426523297</v>
      </c>
      <c r="G72" s="97">
        <f t="shared" si="11"/>
        <v>21069.388440860217</v>
      </c>
      <c r="H72" s="97">
        <f t="shared" si="11"/>
        <v>22303.175403225803</v>
      </c>
      <c r="I72" s="97">
        <f t="shared" si="11"/>
        <v>28236.708109318999</v>
      </c>
      <c r="J72" s="97">
        <f t="shared" si="11"/>
        <v>35161.435427867385</v>
      </c>
      <c r="K72" s="97">
        <f t="shared" si="11"/>
        <v>41926.661971326161</v>
      </c>
      <c r="L72" s="97">
        <f t="shared" si="11"/>
        <v>47231.641071684586</v>
      </c>
      <c r="M72" s="97">
        <f t="shared" si="11"/>
        <v>51915.86778394266</v>
      </c>
      <c r="N72" s="97">
        <f t="shared" si="11"/>
        <v>56511.675931265956</v>
      </c>
      <c r="O72" s="97">
        <f t="shared" si="11"/>
        <v>63182.613401479372</v>
      </c>
      <c r="P72" s="97">
        <f t="shared" si="11"/>
        <v>74511.677411701268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outlineLevel="1" x14ac:dyDescent="0.25">
      <c r="A73" s="14"/>
      <c r="B73" s="14"/>
      <c r="C73" s="58"/>
      <c r="D73" s="51"/>
      <c r="E73" s="51"/>
      <c r="F73" s="51"/>
      <c r="G73" s="51"/>
      <c r="H73" s="51"/>
      <c r="I73" s="14"/>
      <c r="J73" s="14"/>
      <c r="K73" s="14"/>
      <c r="L73" s="14"/>
      <c r="M73" s="14"/>
      <c r="N73" s="14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outlineLevel="1" x14ac:dyDescent="0.25">
      <c r="A74" s="1" t="s">
        <v>183</v>
      </c>
      <c r="B74" s="1"/>
      <c r="C74" s="2"/>
      <c r="D74" s="149">
        <v>1120.1708000000001</v>
      </c>
      <c r="E74" s="149">
        <v>4858.2165021220308</v>
      </c>
      <c r="F74" s="149">
        <v>8482.8061148686775</v>
      </c>
      <c r="G74" s="149">
        <v>10908.02097640469</v>
      </c>
      <c r="H74" s="149">
        <v>11597.665241419718</v>
      </c>
      <c r="I74" s="60">
        <f>I72*I51</f>
        <v>9035.7465949820798</v>
      </c>
      <c r="J74" s="60">
        <f t="shared" ref="J74:P74" si="12">J72*J51</f>
        <v>11251.659336917564</v>
      </c>
      <c r="K74" s="60">
        <f t="shared" si="12"/>
        <v>13416.531830824371</v>
      </c>
      <c r="L74" s="60">
        <f t="shared" si="12"/>
        <v>15114.125142939069</v>
      </c>
      <c r="M74" s="60">
        <f t="shared" si="12"/>
        <v>16613.07769086165</v>
      </c>
      <c r="N74" s="60">
        <f t="shared" si="12"/>
        <v>18083.736298005108</v>
      </c>
      <c r="O74" s="60">
        <f t="shared" si="12"/>
        <v>20218.4362884734</v>
      </c>
      <c r="P74" s="60">
        <f t="shared" si="12"/>
        <v>23843.736771744407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outlineLevel="1" x14ac:dyDescent="0.25">
      <c r="A75" s="108" t="s">
        <v>184</v>
      </c>
      <c r="B75" s="108"/>
      <c r="C75" s="125"/>
      <c r="D75" s="108">
        <f t="shared" ref="D75:P75" si="13">D72-D74</f>
        <v>892.59801720430528</v>
      </c>
      <c r="E75" s="108">
        <f t="shared" si="13"/>
        <v>4465.8202362292222</v>
      </c>
      <c r="F75" s="108">
        <f t="shared" si="13"/>
        <v>8070.7333116546197</v>
      </c>
      <c r="G75" s="108">
        <f t="shared" si="13"/>
        <v>10161.367464455527</v>
      </c>
      <c r="H75" s="108">
        <f t="shared" si="13"/>
        <v>10705.510161806085</v>
      </c>
      <c r="I75" s="108">
        <f t="shared" si="13"/>
        <v>19200.961514336919</v>
      </c>
      <c r="J75" s="108">
        <f t="shared" si="13"/>
        <v>23909.776090949821</v>
      </c>
      <c r="K75" s="108">
        <f t="shared" si="13"/>
        <v>28510.130140501788</v>
      </c>
      <c r="L75" s="108">
        <f t="shared" si="13"/>
        <v>32117.515928745517</v>
      </c>
      <c r="M75" s="108">
        <f t="shared" si="13"/>
        <v>35302.790093081014</v>
      </c>
      <c r="N75" s="108">
        <f t="shared" si="13"/>
        <v>38427.939633260845</v>
      </c>
      <c r="O75" s="108">
        <f t="shared" si="13"/>
        <v>42964.177113005971</v>
      </c>
      <c r="P75" s="108">
        <f t="shared" si="13"/>
        <v>50667.940639956862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outlineLevel="1" x14ac:dyDescent="0.25">
      <c r="A76" s="1"/>
      <c r="B76" s="1"/>
      <c r="C76" s="2"/>
      <c r="D76" s="8"/>
      <c r="E76" s="8"/>
      <c r="F76" s="8"/>
      <c r="G76" s="8"/>
      <c r="H76" s="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x14ac:dyDescent="0.25">
      <c r="A77" s="1"/>
      <c r="B77" s="1"/>
      <c r="C77" s="2"/>
      <c r="D77" s="8"/>
      <c r="E77" s="8"/>
      <c r="F77" s="8"/>
      <c r="G77" s="8"/>
      <c r="H77" s="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x14ac:dyDescent="0.35">
      <c r="A78" s="88" t="s">
        <v>185</v>
      </c>
      <c r="B78" s="89"/>
      <c r="C78" s="90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outlineLevel="1" x14ac:dyDescent="0.25">
      <c r="A79" s="1"/>
      <c r="B79" s="1"/>
      <c r="C79" s="2"/>
      <c r="D79" s="8"/>
      <c r="E79" s="8"/>
      <c r="F79" s="8"/>
      <c r="G79" s="8"/>
      <c r="H79" s="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outlineLevel="1" x14ac:dyDescent="0.25">
      <c r="A80" s="14" t="s">
        <v>97</v>
      </c>
      <c r="B80" s="1"/>
      <c r="C80" s="2"/>
      <c r="D80" s="8"/>
      <c r="E80" s="8"/>
      <c r="F80" s="8"/>
      <c r="G80" s="8"/>
      <c r="H80" s="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outlineLevel="1" x14ac:dyDescent="0.25">
      <c r="A81" s="1" t="s">
        <v>52</v>
      </c>
      <c r="B81" s="1"/>
      <c r="C81" s="61"/>
      <c r="D81" s="149">
        <v>37573.461592473119</v>
      </c>
      <c r="E81" s="149">
        <v>42850.185726551805</v>
      </c>
      <c r="F81" s="149">
        <v>40521.137452184921</v>
      </c>
      <c r="G81" s="149">
        <v>51041.263877213925</v>
      </c>
      <c r="H81" s="149">
        <v>61888.631117873054</v>
      </c>
      <c r="I81" s="168">
        <v>77064.787668911507</v>
      </c>
      <c r="J81" s="168">
        <v>99588.665014341619</v>
      </c>
      <c r="K81" s="1">
        <v>126029.11220239582</v>
      </c>
      <c r="L81" s="1">
        <v>156244.17000780458</v>
      </c>
      <c r="M81" s="1">
        <v>189736.17736811982</v>
      </c>
      <c r="N81" s="1">
        <v>216665.72102941747</v>
      </c>
      <c r="O81" s="1">
        <v>254785.31673174491</v>
      </c>
      <c r="P81" s="1">
        <v>302365.80380314705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outlineLevel="1" x14ac:dyDescent="0.25">
      <c r="A82" s="1" t="s">
        <v>98</v>
      </c>
      <c r="B82" s="1"/>
      <c r="C82" s="61"/>
      <c r="D82" s="149">
        <v>2856.3788082437277</v>
      </c>
      <c r="E82" s="149">
        <v>3306.619623655914</v>
      </c>
      <c r="F82" s="149">
        <v>3677.8953853046592</v>
      </c>
      <c r="G82" s="149">
        <v>3985.80309139785</v>
      </c>
      <c r="H82" s="149">
        <v>4221.8862007168455</v>
      </c>
      <c r="I82" s="62">
        <f>I63*I52/365</f>
        <v>5852.8066234595181</v>
      </c>
      <c r="J82" s="62">
        <f t="shared" ref="J82:P82" si="14">J63*J52/365</f>
        <v>5506.9589593460005</v>
      </c>
      <c r="K82" s="62">
        <f t="shared" si="14"/>
        <v>6167.7940344675217</v>
      </c>
      <c r="L82" s="62">
        <f t="shared" si="14"/>
        <v>6784.5734379142741</v>
      </c>
      <c r="M82" s="62">
        <f t="shared" si="14"/>
        <v>7327.3393129474161</v>
      </c>
      <c r="N82" s="62">
        <f t="shared" si="14"/>
        <v>7766.9796717242616</v>
      </c>
      <c r="O82" s="62">
        <f t="shared" si="14"/>
        <v>10916.921427479101</v>
      </c>
      <c r="P82" s="62">
        <f t="shared" si="14"/>
        <v>12554.459641600964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outlineLevel="1" x14ac:dyDescent="0.25">
      <c r="A83" s="1" t="s">
        <v>99</v>
      </c>
      <c r="B83" s="1"/>
      <c r="C83" s="61"/>
      <c r="D83" s="149">
        <v>4370.8557347670248</v>
      </c>
      <c r="E83" s="149">
        <v>5376.7921146953413</v>
      </c>
      <c r="F83" s="149">
        <v>5502.1281362007167</v>
      </c>
      <c r="G83" s="149">
        <v>5897.6254480286743</v>
      </c>
      <c r="H83" s="149">
        <v>6351.9265232974894</v>
      </c>
      <c r="I83" s="60">
        <f>I64*I53/365</f>
        <v>8380.1549381352179</v>
      </c>
      <c r="J83" s="60">
        <f t="shared" ref="J83:P83" si="15">J64*J53/365</f>
        <v>9407.7215555494167</v>
      </c>
      <c r="K83" s="60">
        <f t="shared" si="15"/>
        <v>10279.656724112536</v>
      </c>
      <c r="L83" s="60">
        <f t="shared" si="15"/>
        <v>11307.62239652379</v>
      </c>
      <c r="M83" s="60">
        <f t="shared" si="15"/>
        <v>12212.232188245694</v>
      </c>
      <c r="N83" s="60">
        <f t="shared" si="15"/>
        <v>12944.966119540437</v>
      </c>
      <c r="O83" s="60">
        <f t="shared" si="15"/>
        <v>15631.046589345075</v>
      </c>
      <c r="P83" s="60">
        <f t="shared" si="15"/>
        <v>17975.703577746834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outlineLevel="1" x14ac:dyDescent="0.25">
      <c r="A84" s="97" t="s">
        <v>100</v>
      </c>
      <c r="B84" s="94"/>
      <c r="C84" s="127"/>
      <c r="D84" s="97">
        <f t="shared" ref="D84:P84" si="16">SUM(D81:D83)</f>
        <v>44800.696135483871</v>
      </c>
      <c r="E84" s="97">
        <f t="shared" si="16"/>
        <v>51533.597464903054</v>
      </c>
      <c r="F84" s="97">
        <f t="shared" si="16"/>
        <v>49701.160973690297</v>
      </c>
      <c r="G84" s="97">
        <f t="shared" si="16"/>
        <v>60924.69241664045</v>
      </c>
      <c r="H84" s="97">
        <f t="shared" si="16"/>
        <v>72462.443841887391</v>
      </c>
      <c r="I84" s="97">
        <f>SUM(I81:I83)</f>
        <v>91297.749230506248</v>
      </c>
      <c r="J84" s="97">
        <f>SUM(J81:J83)</f>
        <v>114503.34552923703</v>
      </c>
      <c r="K84" s="97">
        <f t="shared" si="16"/>
        <v>142476.56296097589</v>
      </c>
      <c r="L84" s="97">
        <v>174337</v>
      </c>
      <c r="M84" s="97">
        <f t="shared" si="16"/>
        <v>209275.74886931293</v>
      </c>
      <c r="N84" s="97">
        <f t="shared" si="16"/>
        <v>237377.66682068218</v>
      </c>
      <c r="O84" s="97">
        <f t="shared" si="16"/>
        <v>281333.28474856913</v>
      </c>
      <c r="P84" s="97">
        <f t="shared" si="16"/>
        <v>332895.96702249482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outlineLevel="1" x14ac:dyDescent="0.25">
      <c r="A85" s="1" t="s">
        <v>101</v>
      </c>
      <c r="B85" s="1"/>
      <c r="C85" s="2"/>
      <c r="D85" s="149">
        <v>25481.630824372758</v>
      </c>
      <c r="E85" s="149">
        <v>23717.517921146951</v>
      </c>
      <c r="F85" s="149">
        <v>22482.638888888887</v>
      </c>
      <c r="G85" s="149">
        <v>21618.223566308243</v>
      </c>
      <c r="H85" s="149">
        <v>21013.132840501792</v>
      </c>
      <c r="I85" s="1">
        <v>22560.506272401435</v>
      </c>
      <c r="J85" s="1">
        <v>23798.405017921148</v>
      </c>
      <c r="K85" s="1">
        <v>24788.72401433692</v>
      </c>
      <c r="L85" s="1">
        <v>25580.979211469537</v>
      </c>
      <c r="M85" s="1">
        <v>26214.783369175631</v>
      </c>
      <c r="N85" s="1">
        <v>26721.826695340504</v>
      </c>
      <c r="O85" s="1">
        <v>27127.599999999999</v>
      </c>
      <c r="P85" s="1">
        <v>27452.079999999998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outlineLevel="1" x14ac:dyDescent="0.25">
      <c r="A86" s="1" t="s">
        <v>102</v>
      </c>
      <c r="B86" s="1"/>
      <c r="C86" s="2"/>
      <c r="D86" s="8"/>
      <c r="E86" s="8"/>
      <c r="F86" s="8"/>
      <c r="G86" s="8"/>
      <c r="H86" s="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outlineLevel="1" x14ac:dyDescent="0.25">
      <c r="A87" s="108" t="s">
        <v>103</v>
      </c>
      <c r="B87" s="108"/>
      <c r="C87" s="125"/>
      <c r="D87" s="108">
        <f t="shared" ref="D87:P87" si="17">SUM(D84:D86)</f>
        <v>70282.326959856626</v>
      </c>
      <c r="E87" s="108">
        <f t="shared" si="17"/>
        <v>75251.115386050005</v>
      </c>
      <c r="F87" s="108">
        <f t="shared" si="17"/>
        <v>72183.799862579181</v>
      </c>
      <c r="G87" s="108">
        <f t="shared" si="17"/>
        <v>82542.915982948689</v>
      </c>
      <c r="H87" s="108">
        <f t="shared" si="17"/>
        <v>93475.57668238919</v>
      </c>
      <c r="I87" s="108">
        <f t="shared" si="17"/>
        <v>113858.25550290768</v>
      </c>
      <c r="J87" s="108">
        <f t="shared" si="17"/>
        <v>138301.75054715818</v>
      </c>
      <c r="K87" s="108">
        <v>167266</v>
      </c>
      <c r="L87" s="108">
        <f t="shared" si="17"/>
        <v>199917.97921146953</v>
      </c>
      <c r="M87" s="108">
        <f t="shared" si="17"/>
        <v>235490.53223848855</v>
      </c>
      <c r="N87" s="108">
        <v>264100</v>
      </c>
      <c r="O87" s="108">
        <f t="shared" si="17"/>
        <v>308460.88474856911</v>
      </c>
      <c r="P87" s="108">
        <f t="shared" si="17"/>
        <v>360348.04702249484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outlineLevel="1" x14ac:dyDescent="0.25">
      <c r="A88" s="14"/>
      <c r="B88" s="14"/>
      <c r="C88" s="58"/>
      <c r="D88" s="51"/>
      <c r="E88" s="51"/>
      <c r="F88" s="51"/>
      <c r="G88" s="51"/>
      <c r="H88" s="51"/>
      <c r="I88" s="14"/>
      <c r="J88" s="14"/>
      <c r="K88" s="14"/>
      <c r="L88" s="14"/>
      <c r="M88" s="14"/>
      <c r="N88" s="14"/>
      <c r="O88" s="14"/>
      <c r="P88" s="14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outlineLevel="1" x14ac:dyDescent="0.25">
      <c r="A89" s="14" t="s">
        <v>104</v>
      </c>
      <c r="B89" s="1"/>
      <c r="C89" s="61"/>
      <c r="D89" s="8"/>
      <c r="E89" s="8"/>
      <c r="F89" s="8"/>
      <c r="G89" s="8"/>
      <c r="H89" s="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outlineLevel="1" x14ac:dyDescent="0.25">
      <c r="A90" s="1" t="s">
        <v>105</v>
      </c>
      <c r="B90" s="1"/>
      <c r="C90" s="61"/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169" t="s">
        <v>278</v>
      </c>
      <c r="J90" s="169" t="s">
        <v>278</v>
      </c>
      <c r="K90" s="169" t="s">
        <v>278</v>
      </c>
      <c r="L90" s="169" t="s">
        <v>278</v>
      </c>
      <c r="M90" s="169" t="s">
        <v>278</v>
      </c>
      <c r="N90" s="169" t="s">
        <v>278</v>
      </c>
      <c r="O90" s="169" t="s">
        <v>278</v>
      </c>
      <c r="P90" s="169" t="s">
        <v>278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outlineLevel="1" x14ac:dyDescent="0.25">
      <c r="A91" s="1" t="s">
        <v>106</v>
      </c>
      <c r="B91" s="1"/>
      <c r="C91" s="61"/>
      <c r="D91" s="149">
        <v>2185.4278673835124</v>
      </c>
      <c r="E91" s="149">
        <v>2688.3960573476702</v>
      </c>
      <c r="F91" s="149">
        <v>2751.0640681003583</v>
      </c>
      <c r="G91" s="149">
        <v>2948.8127240143372</v>
      </c>
      <c r="H91" s="149">
        <v>3175.9632616487452</v>
      </c>
      <c r="I91" s="60">
        <f>I64*I54/365</f>
        <v>4357.6805678303126</v>
      </c>
      <c r="J91" s="60">
        <f t="shared" ref="J91:P91" si="18">J64*J54/365</f>
        <v>4892.0152088856967</v>
      </c>
      <c r="K91" s="60">
        <f t="shared" si="18"/>
        <v>5345.421496538519</v>
      </c>
      <c r="L91" s="60">
        <f t="shared" si="18"/>
        <v>5879.9636461923719</v>
      </c>
      <c r="M91" s="60">
        <f t="shared" si="18"/>
        <v>6350.3607378877614</v>
      </c>
      <c r="N91" s="60">
        <f t="shared" si="18"/>
        <v>6731.3823821610276</v>
      </c>
      <c r="O91" s="60">
        <f t="shared" si="18"/>
        <v>8128.144226459438</v>
      </c>
      <c r="P91" s="60">
        <f t="shared" si="18"/>
        <v>9347.3658604283537</v>
      </c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outlineLevel="1" x14ac:dyDescent="0.25">
      <c r="A92" s="97" t="s">
        <v>107</v>
      </c>
      <c r="B92" s="97"/>
      <c r="C92" s="128"/>
      <c r="D92" s="97">
        <f t="shared" ref="D92:P92" si="19">SUM(D90:D91)</f>
        <v>2185.4278673835124</v>
      </c>
      <c r="E92" s="97">
        <f t="shared" si="19"/>
        <v>2688.3960573476702</v>
      </c>
      <c r="F92" s="97">
        <f t="shared" si="19"/>
        <v>2751.0640681003583</v>
      </c>
      <c r="G92" s="97">
        <f t="shared" si="19"/>
        <v>2948.8127240143372</v>
      </c>
      <c r="H92" s="97">
        <f t="shared" si="19"/>
        <v>3175.9632616487452</v>
      </c>
      <c r="I92" s="97">
        <f t="shared" si="19"/>
        <v>4357.6805678303126</v>
      </c>
      <c r="J92" s="97">
        <f t="shared" si="19"/>
        <v>4892.0152088856967</v>
      </c>
      <c r="K92" s="97">
        <f t="shared" si="19"/>
        <v>5345.421496538519</v>
      </c>
      <c r="L92" s="97">
        <f t="shared" si="19"/>
        <v>5879.9636461923719</v>
      </c>
      <c r="M92" s="97">
        <f t="shared" si="19"/>
        <v>6350.3607378877614</v>
      </c>
      <c r="N92" s="97">
        <f t="shared" si="19"/>
        <v>6731.3823821610276</v>
      </c>
      <c r="O92" s="97">
        <f t="shared" si="19"/>
        <v>8128.144226459438</v>
      </c>
      <c r="P92" s="97">
        <f t="shared" si="19"/>
        <v>9347.3658604283537</v>
      </c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outlineLevel="1" x14ac:dyDescent="0.25">
      <c r="A93" s="1" t="s">
        <v>108</v>
      </c>
      <c r="B93" s="1"/>
      <c r="C93" s="2"/>
      <c r="D93" s="149">
        <v>28001.792114695338</v>
      </c>
      <c r="E93" s="149">
        <v>28001.792114695338</v>
      </c>
      <c r="F93" s="149">
        <v>16801.075268817203</v>
      </c>
      <c r="G93" s="149">
        <v>16801.075268817203</v>
      </c>
      <c r="H93" s="149">
        <v>16801.075268817203</v>
      </c>
      <c r="I93" s="1">
        <v>16801.075268817203</v>
      </c>
      <c r="J93" s="1">
        <v>16801.075268817203</v>
      </c>
      <c r="K93" s="1">
        <v>16801.075268817203</v>
      </c>
      <c r="L93" s="1">
        <v>16801.075268817203</v>
      </c>
      <c r="M93" s="1">
        <v>16801.075268817203</v>
      </c>
      <c r="N93" s="1">
        <v>6801.0752688172033</v>
      </c>
      <c r="O93" s="1">
        <v>6801</v>
      </c>
      <c r="P93" s="1">
        <v>6801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outlineLevel="1" x14ac:dyDescent="0.25">
      <c r="A94" s="97" t="s">
        <v>109</v>
      </c>
      <c r="B94" s="97"/>
      <c r="C94" s="102"/>
      <c r="D94" s="97">
        <f t="shared" ref="D94:P94" si="20">SUM(D92:D93)</f>
        <v>30187.219982078852</v>
      </c>
      <c r="E94" s="97">
        <f t="shared" si="20"/>
        <v>30690.188172043006</v>
      </c>
      <c r="F94" s="97">
        <f t="shared" si="20"/>
        <v>19552.13933691756</v>
      </c>
      <c r="G94" s="97">
        <f t="shared" si="20"/>
        <v>19749.88799283154</v>
      </c>
      <c r="H94" s="97">
        <f t="shared" si="20"/>
        <v>19977.03853046595</v>
      </c>
      <c r="I94" s="97">
        <f t="shared" si="20"/>
        <v>21158.755836647517</v>
      </c>
      <c r="J94" s="97">
        <f t="shared" si="20"/>
        <v>21693.090477702899</v>
      </c>
      <c r="K94" s="97">
        <f t="shared" si="20"/>
        <v>22146.496765355721</v>
      </c>
      <c r="L94" s="97">
        <f t="shared" si="20"/>
        <v>22681.038915009576</v>
      </c>
      <c r="M94" s="97">
        <f t="shared" si="20"/>
        <v>23151.436006704964</v>
      </c>
      <c r="N94" s="97">
        <f t="shared" si="20"/>
        <v>13532.457650978231</v>
      </c>
      <c r="O94" s="97">
        <f t="shared" si="20"/>
        <v>14929.144226459437</v>
      </c>
      <c r="P94" s="97">
        <f t="shared" si="20"/>
        <v>16148.365860428354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outlineLevel="1" x14ac:dyDescent="0.25">
      <c r="A95" s="14" t="s">
        <v>110</v>
      </c>
      <c r="B95" s="1"/>
      <c r="C95" s="2"/>
      <c r="D95" s="8"/>
      <c r="E95" s="8"/>
      <c r="F95" s="8"/>
      <c r="G95" s="8"/>
      <c r="H95" s="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outlineLevel="1" x14ac:dyDescent="0.25">
      <c r="A96" s="1" t="s">
        <v>111</v>
      </c>
      <c r="B96" s="1"/>
      <c r="C96" s="2"/>
      <c r="D96" s="149">
        <v>39202.508960573476</v>
      </c>
      <c r="E96" s="149">
        <v>39202.508960573476</v>
      </c>
      <c r="F96" s="149">
        <v>39202.508960573476</v>
      </c>
      <c r="G96" s="149">
        <v>39202.508960573476</v>
      </c>
      <c r="H96" s="149">
        <v>39202.508960573476</v>
      </c>
      <c r="I96" s="1">
        <f t="shared" ref="I96:N96" si="21">H96+I57</f>
        <v>39202.508960573476</v>
      </c>
      <c r="J96" s="1">
        <f t="shared" si="21"/>
        <v>39202.508960573476</v>
      </c>
      <c r="K96" s="1">
        <f t="shared" si="21"/>
        <v>39202.508960573476</v>
      </c>
      <c r="L96" s="1">
        <f t="shared" si="21"/>
        <v>39202.508960573476</v>
      </c>
      <c r="M96" s="1">
        <f t="shared" si="21"/>
        <v>39202.508960573476</v>
      </c>
      <c r="N96" s="1">
        <f t="shared" si="21"/>
        <v>39202.508960573476</v>
      </c>
      <c r="O96" s="1">
        <f>H96+O57</f>
        <v>39202.508960573476</v>
      </c>
      <c r="P96" s="1">
        <f t="shared" ref="P96" si="22">+I96</f>
        <v>39202.508960573476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outlineLevel="1" x14ac:dyDescent="0.25">
      <c r="A97" s="1" t="s">
        <v>112</v>
      </c>
      <c r="B97" s="1"/>
      <c r="C97" s="2"/>
      <c r="D97" s="149">
        <v>892.59801720429687</v>
      </c>
      <c r="E97" s="149">
        <v>5358.4182534335196</v>
      </c>
      <c r="F97" s="149">
        <v>13429.151565088139</v>
      </c>
      <c r="G97" s="149">
        <v>23590.519029543666</v>
      </c>
      <c r="H97" s="195">
        <v>34296.029191349749</v>
      </c>
      <c r="I97" s="1">
        <f>H97+I75-I58</f>
        <v>53496.990705686665</v>
      </c>
      <c r="J97" s="1">
        <f t="shared" ref="J97:P97" si="23">I97+J75-J58</f>
        <v>77406.766796636482</v>
      </c>
      <c r="K97" s="1">
        <f t="shared" si="23"/>
        <v>105916.89693713827</v>
      </c>
      <c r="L97" s="1">
        <f t="shared" si="23"/>
        <v>138034.41286588379</v>
      </c>
      <c r="M97" s="1">
        <f t="shared" si="23"/>
        <v>173137.2029589648</v>
      </c>
      <c r="N97" s="1">
        <f t="shared" si="23"/>
        <v>211365.14259222563</v>
      </c>
      <c r="O97" s="1">
        <f t="shared" si="23"/>
        <v>254329.31970523161</v>
      </c>
      <c r="P97" s="1">
        <f t="shared" si="23"/>
        <v>304997.26034518849</v>
      </c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outlineLevel="1" x14ac:dyDescent="0.25">
      <c r="A98" s="110" t="s">
        <v>110</v>
      </c>
      <c r="B98" s="110"/>
      <c r="C98" s="113"/>
      <c r="D98" s="110">
        <f t="shared" ref="D98:P98" si="24">SUM(D96:D97)</f>
        <v>40095.106977777774</v>
      </c>
      <c r="E98" s="110">
        <f t="shared" si="24"/>
        <v>44560.927214006995</v>
      </c>
      <c r="F98" s="110">
        <f t="shared" si="24"/>
        <v>52631.660525661617</v>
      </c>
      <c r="G98" s="110">
        <f t="shared" si="24"/>
        <v>62793.027990117145</v>
      </c>
      <c r="H98" s="110">
        <f t="shared" si="24"/>
        <v>73498.538151923218</v>
      </c>
      <c r="I98" s="110">
        <f t="shared" si="24"/>
        <v>92699.499666260148</v>
      </c>
      <c r="J98" s="110">
        <f>SUM(J96:J97)</f>
        <v>116609.27575720995</v>
      </c>
      <c r="K98" s="110">
        <f t="shared" si="24"/>
        <v>145119.40589771175</v>
      </c>
      <c r="L98" s="110">
        <f t="shared" si="24"/>
        <v>177236.92182645726</v>
      </c>
      <c r="M98" s="110">
        <f t="shared" si="24"/>
        <v>212339.71191953827</v>
      </c>
      <c r="N98" s="110">
        <f t="shared" si="24"/>
        <v>250567.6515527991</v>
      </c>
      <c r="O98" s="110">
        <f t="shared" si="24"/>
        <v>293531.82866580511</v>
      </c>
      <c r="P98" s="110">
        <f t="shared" si="24"/>
        <v>344199.76930576196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outlineLevel="1" x14ac:dyDescent="0.25">
      <c r="A99" s="108" t="s">
        <v>113</v>
      </c>
      <c r="B99" s="108"/>
      <c r="C99" s="125"/>
      <c r="D99" s="108">
        <f t="shared" ref="D99:H99" si="25">D94+D98</f>
        <v>70282.326959856626</v>
      </c>
      <c r="E99" s="108">
        <f t="shared" si="25"/>
        <v>75251.115386050005</v>
      </c>
      <c r="F99" s="108">
        <f t="shared" si="25"/>
        <v>72183.799862579181</v>
      </c>
      <c r="G99" s="108">
        <f t="shared" si="25"/>
        <v>82542.915982948689</v>
      </c>
      <c r="H99" s="108">
        <f t="shared" si="25"/>
        <v>93475.576682389161</v>
      </c>
      <c r="I99" s="108">
        <f t="shared" ref="I99:P99" si="26">I98+I94</f>
        <v>113858.25550290766</v>
      </c>
      <c r="J99" s="108">
        <f>J98+J94</f>
        <v>138302.36623491286</v>
      </c>
      <c r="K99" s="108">
        <f t="shared" si="26"/>
        <v>167265.90266306748</v>
      </c>
      <c r="L99" s="108">
        <f t="shared" si="26"/>
        <v>199917.96074146684</v>
      </c>
      <c r="M99" s="108">
        <f t="shared" si="26"/>
        <v>235491.14792624323</v>
      </c>
      <c r="N99" s="108">
        <f t="shared" si="26"/>
        <v>264100.10920377733</v>
      </c>
      <c r="O99" s="108">
        <f t="shared" si="26"/>
        <v>308460.97289226454</v>
      </c>
      <c r="P99" s="108">
        <f t="shared" si="26"/>
        <v>360348.13516619033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outlineLevel="1" x14ac:dyDescent="0.25">
      <c r="A100" s="1"/>
      <c r="B100" s="1"/>
      <c r="C100" s="2"/>
      <c r="D100" s="8"/>
      <c r="E100" s="8"/>
      <c r="F100" s="8"/>
      <c r="G100" s="8"/>
      <c r="H100" s="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outlineLevel="1" x14ac:dyDescent="0.25">
      <c r="A101" s="25" t="s">
        <v>114</v>
      </c>
      <c r="B101" s="64"/>
      <c r="C101" s="65"/>
      <c r="D101" s="64">
        <f>D99-D87</f>
        <v>0</v>
      </c>
      <c r="E101" s="64">
        <f t="shared" ref="E101:N101" si="27">E99-E87</f>
        <v>0</v>
      </c>
      <c r="F101" s="64">
        <f t="shared" si="27"/>
        <v>0</v>
      </c>
      <c r="G101" s="64">
        <f t="shared" si="27"/>
        <v>0</v>
      </c>
      <c r="H101" s="64">
        <f t="shared" si="27"/>
        <v>0</v>
      </c>
      <c r="I101" s="64">
        <f t="shared" si="27"/>
        <v>0</v>
      </c>
      <c r="J101" s="64">
        <f t="shared" si="27"/>
        <v>0.61568775467458181</v>
      </c>
      <c r="K101" s="64">
        <f t="shared" si="27"/>
        <v>-9.7336932522011921E-2</v>
      </c>
      <c r="L101" s="64">
        <f t="shared" si="27"/>
        <v>-1.847000268753618E-2</v>
      </c>
      <c r="M101" s="64">
        <f t="shared" si="27"/>
        <v>0.61568775467458181</v>
      </c>
      <c r="N101" s="64">
        <f t="shared" si="27"/>
        <v>0.10920377733418718</v>
      </c>
      <c r="O101" s="64">
        <f>O99-O87</f>
        <v>8.8143695436883718E-2</v>
      </c>
      <c r="P101" s="64">
        <f>P99-P87</f>
        <v>8.8143695495091379E-2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outlineLevel="1" x14ac:dyDescent="0.25">
      <c r="A102" s="64"/>
      <c r="B102" s="64"/>
      <c r="C102" s="65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x14ac:dyDescent="0.25">
      <c r="A103" s="1"/>
      <c r="B103" s="1"/>
      <c r="C103" s="2"/>
      <c r="D103" s="8"/>
      <c r="E103" s="8"/>
      <c r="F103" s="8"/>
      <c r="G103" s="8"/>
      <c r="H103" s="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x14ac:dyDescent="0.35">
      <c r="A104" s="88" t="s">
        <v>186</v>
      </c>
      <c r="B104" s="89"/>
      <c r="C104" s="90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outlineLevel="1" x14ac:dyDescent="0.25">
      <c r="A105" s="14"/>
      <c r="B105" s="1"/>
      <c r="C105" s="2"/>
      <c r="D105" s="51"/>
      <c r="E105" s="8"/>
      <c r="F105" s="8"/>
      <c r="G105" s="8"/>
      <c r="H105" s="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outlineLevel="1" x14ac:dyDescent="0.25">
      <c r="A106" s="14" t="s">
        <v>187</v>
      </c>
      <c r="B106" s="1"/>
      <c r="C106" s="2"/>
      <c r="D106" s="8"/>
      <c r="E106" s="8"/>
      <c r="F106" s="8"/>
      <c r="G106" s="8"/>
      <c r="H106" s="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outlineLevel="1" x14ac:dyDescent="0.25">
      <c r="A107" s="1" t="s">
        <v>184</v>
      </c>
      <c r="B107" s="1"/>
      <c r="C107" s="2"/>
      <c r="D107" s="1">
        <f t="shared" ref="D107:P107" si="28">D75</f>
        <v>892.59801720430528</v>
      </c>
      <c r="E107" s="1">
        <f t="shared" si="28"/>
        <v>4465.8202362292222</v>
      </c>
      <c r="F107" s="1">
        <f t="shared" si="28"/>
        <v>8070.7333116546197</v>
      </c>
      <c r="G107" s="1">
        <f t="shared" si="28"/>
        <v>10161.367464455527</v>
      </c>
      <c r="H107" s="1">
        <f t="shared" si="28"/>
        <v>10705.510161806085</v>
      </c>
      <c r="I107" s="1">
        <f t="shared" si="28"/>
        <v>19200.961514336919</v>
      </c>
      <c r="J107" s="1">
        <f t="shared" si="28"/>
        <v>23909.776090949821</v>
      </c>
      <c r="K107" s="1">
        <f t="shared" si="28"/>
        <v>28510.130140501788</v>
      </c>
      <c r="L107" s="1">
        <f t="shared" si="28"/>
        <v>32117.515928745517</v>
      </c>
      <c r="M107" s="1">
        <f t="shared" si="28"/>
        <v>35302.790093081014</v>
      </c>
      <c r="N107" s="1">
        <f t="shared" si="28"/>
        <v>38427.939633260845</v>
      </c>
      <c r="O107" s="1">
        <f t="shared" si="28"/>
        <v>42964.177113005971</v>
      </c>
      <c r="P107" s="1">
        <f t="shared" si="28"/>
        <v>50667.940639956862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outlineLevel="1" x14ac:dyDescent="0.25">
      <c r="A108" s="1" t="s">
        <v>188</v>
      </c>
      <c r="B108" s="1"/>
      <c r="C108" s="2"/>
      <c r="D108" s="1">
        <f t="shared" ref="D108:H108" si="29">D69</f>
        <v>10920.698924731183</v>
      </c>
      <c r="E108" s="1">
        <f t="shared" si="29"/>
        <v>10164.650537634408</v>
      </c>
      <c r="F108" s="1">
        <f t="shared" si="29"/>
        <v>9635.4166666666661</v>
      </c>
      <c r="G108" s="1">
        <f t="shared" si="29"/>
        <v>9264.9529569892475</v>
      </c>
      <c r="H108" s="1">
        <f t="shared" si="29"/>
        <v>9005.6283602150525</v>
      </c>
      <c r="I108" s="1">
        <v>4202.6265681003588</v>
      </c>
      <c r="J108" s="1">
        <v>4512.101254480287</v>
      </c>
      <c r="K108" s="1">
        <v>4759.68100358423</v>
      </c>
      <c r="L108" s="1">
        <v>4957.7448028673844</v>
      </c>
      <c r="M108" s="1">
        <v>5116.1958422939078</v>
      </c>
      <c r="N108" s="1">
        <v>5242.9566738351268</v>
      </c>
      <c r="O108" s="1">
        <v>5344.4000000000005</v>
      </c>
      <c r="P108" s="1">
        <v>5425.52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outlineLevel="1" x14ac:dyDescent="0.25">
      <c r="A109" s="1" t="s">
        <v>189</v>
      </c>
      <c r="B109" s="1"/>
      <c r="C109" s="2"/>
      <c r="D109" s="8">
        <v>5041.8066756272401</v>
      </c>
      <c r="E109" s="1">
        <v>953.20900537634407</v>
      </c>
      <c r="F109" s="1">
        <v>433.94377240143331</v>
      </c>
      <c r="G109" s="1">
        <v>505.65636200717017</v>
      </c>
      <c r="H109" s="1">
        <v>463.23364695340206</v>
      </c>
      <c r="I109" s="1">
        <v>2477.4315313988336</v>
      </c>
      <c r="J109" s="1">
        <v>148</v>
      </c>
      <c r="K109" s="1">
        <v>1079.3639560318188</v>
      </c>
      <c r="L109" s="1">
        <v>1110.2029262041506</v>
      </c>
      <c r="M109" s="1">
        <v>976.97857505966022</v>
      </c>
      <c r="N109" s="1">
        <v>791.35264579832074</v>
      </c>
      <c r="O109" s="1">
        <v>4439.2603812610687</v>
      </c>
      <c r="P109" s="1">
        <v>2762.9735685547057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outlineLevel="1" x14ac:dyDescent="0.25">
      <c r="A110" s="97" t="s">
        <v>190</v>
      </c>
      <c r="B110" s="94"/>
      <c r="C110" s="100"/>
      <c r="D110" s="97">
        <f t="shared" ref="D110:O110" si="30">D107+D108-D109</f>
        <v>6771.4902663082485</v>
      </c>
      <c r="E110" s="97">
        <f t="shared" si="30"/>
        <v>13677.261768487288</v>
      </c>
      <c r="F110" s="97">
        <f t="shared" si="30"/>
        <v>17272.206205919851</v>
      </c>
      <c r="G110" s="97">
        <f t="shared" si="30"/>
        <v>18920.664059437608</v>
      </c>
      <c r="H110" s="97">
        <f t="shared" si="30"/>
        <v>19247.904875067736</v>
      </c>
      <c r="I110" s="97">
        <f t="shared" si="30"/>
        <v>20926.156551038446</v>
      </c>
      <c r="J110" s="97">
        <f t="shared" si="30"/>
        <v>28273.877345430108</v>
      </c>
      <c r="K110" s="97">
        <f t="shared" si="30"/>
        <v>32190.447188054197</v>
      </c>
      <c r="L110" s="97">
        <f t="shared" si="30"/>
        <v>35965.057805408753</v>
      </c>
      <c r="M110" s="97">
        <f t="shared" si="30"/>
        <v>39442.007360315256</v>
      </c>
      <c r="N110" s="97">
        <f t="shared" si="30"/>
        <v>42879.543661297648</v>
      </c>
      <c r="O110" s="97">
        <f t="shared" si="30"/>
        <v>43869.316731744904</v>
      </c>
      <c r="P110" s="97">
        <f>P107+P108-P109</f>
        <v>53330.487071402153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outlineLevel="1" x14ac:dyDescent="0.25">
      <c r="A111" s="14"/>
      <c r="B111" s="1"/>
      <c r="C111" s="2"/>
      <c r="D111" s="51"/>
      <c r="E111" s="51"/>
      <c r="F111" s="51"/>
      <c r="G111" s="51"/>
      <c r="H111" s="51"/>
      <c r="I111" s="14"/>
      <c r="J111" s="14"/>
      <c r="K111" s="14"/>
      <c r="L111" s="14"/>
      <c r="M111" s="14"/>
      <c r="N111" s="14"/>
      <c r="O111" s="14"/>
      <c r="P111" s="14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outlineLevel="1" x14ac:dyDescent="0.25">
      <c r="A112" s="14" t="s">
        <v>191</v>
      </c>
      <c r="B112" s="1"/>
      <c r="C112" s="2"/>
      <c r="D112" s="8"/>
      <c r="E112" s="8"/>
      <c r="F112" s="8"/>
      <c r="G112" s="8"/>
      <c r="H112" s="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outlineLevel="1" x14ac:dyDescent="0.25">
      <c r="A113" s="1" t="s">
        <v>192</v>
      </c>
      <c r="B113" s="1"/>
      <c r="C113" s="2"/>
      <c r="D113" s="149">
        <v>-8400.5376344086017</v>
      </c>
      <c r="E113" s="149">
        <v>-8400.5376344086017</v>
      </c>
      <c r="F113" s="149">
        <v>-8400.5376344086017</v>
      </c>
      <c r="G113" s="149">
        <v>-8400.5376344086017</v>
      </c>
      <c r="H113" s="149">
        <v>-8400.5376344086017</v>
      </c>
      <c r="I113" s="1">
        <f t="shared" ref="I113:P113" si="31">-I140</f>
        <v>-5750</v>
      </c>
      <c r="J113" s="1">
        <f t="shared" si="31"/>
        <v>-5750</v>
      </c>
      <c r="K113" s="1">
        <f t="shared" si="31"/>
        <v>-5750</v>
      </c>
      <c r="L113" s="1">
        <f t="shared" si="31"/>
        <v>-5750</v>
      </c>
      <c r="M113" s="1">
        <f t="shared" si="31"/>
        <v>-5750</v>
      </c>
      <c r="N113" s="1">
        <f t="shared" si="31"/>
        <v>-5750</v>
      </c>
      <c r="O113" s="1">
        <f t="shared" si="31"/>
        <v>-5750</v>
      </c>
      <c r="P113" s="1">
        <f t="shared" si="31"/>
        <v>-5750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outlineLevel="1" x14ac:dyDescent="0.25">
      <c r="A114" s="1" t="s">
        <v>193</v>
      </c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outlineLevel="1" x14ac:dyDescent="0.25">
      <c r="A115" s="97" t="s">
        <v>194</v>
      </c>
      <c r="B115" s="94"/>
      <c r="C115" s="100"/>
      <c r="D115" s="97">
        <f t="shared" ref="D115:P115" si="32">SUM(D113:D114)</f>
        <v>-8400.5376344086017</v>
      </c>
      <c r="E115" s="97">
        <f t="shared" si="32"/>
        <v>-8400.5376344086017</v>
      </c>
      <c r="F115" s="97">
        <f t="shared" si="32"/>
        <v>-8400.5376344086017</v>
      </c>
      <c r="G115" s="97">
        <f t="shared" si="32"/>
        <v>-8400.5376344086017</v>
      </c>
      <c r="H115" s="97">
        <f t="shared" si="32"/>
        <v>-8400.5376344086017</v>
      </c>
      <c r="I115" s="97">
        <f t="shared" si="32"/>
        <v>-5750</v>
      </c>
      <c r="J115" s="97">
        <f t="shared" si="32"/>
        <v>-5750</v>
      </c>
      <c r="K115" s="97">
        <f t="shared" si="32"/>
        <v>-5750</v>
      </c>
      <c r="L115" s="97">
        <f t="shared" si="32"/>
        <v>-5750</v>
      </c>
      <c r="M115" s="97">
        <f t="shared" si="32"/>
        <v>-5750</v>
      </c>
      <c r="N115" s="97">
        <f t="shared" si="32"/>
        <v>-5750</v>
      </c>
      <c r="O115" s="97">
        <f t="shared" si="32"/>
        <v>-5750</v>
      </c>
      <c r="P115" s="97">
        <f t="shared" si="32"/>
        <v>-5750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outlineLevel="1" x14ac:dyDescent="0.25">
      <c r="A116" s="14"/>
      <c r="B116" s="1"/>
      <c r="C116" s="2"/>
      <c r="D116" s="51"/>
      <c r="E116" s="51"/>
      <c r="F116" s="51"/>
      <c r="G116" s="51"/>
      <c r="H116" s="51"/>
      <c r="I116" s="14"/>
      <c r="J116" s="14"/>
      <c r="K116" s="14"/>
      <c r="L116" s="14"/>
      <c r="M116" s="14"/>
      <c r="N116" s="14"/>
      <c r="O116" s="14"/>
      <c r="P116" s="14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outlineLevel="1" x14ac:dyDescent="0.25">
      <c r="A117" s="14" t="s">
        <v>195</v>
      </c>
      <c r="B117" s="1"/>
      <c r="C117" s="2"/>
      <c r="D117" s="8"/>
      <c r="E117" s="8"/>
      <c r="F117" s="8"/>
      <c r="G117" s="8"/>
      <c r="H117" s="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outlineLevel="1" x14ac:dyDescent="0.25">
      <c r="A118" s="1" t="s">
        <v>196</v>
      </c>
      <c r="B118" s="1"/>
      <c r="C118" s="2"/>
      <c r="D118" s="8">
        <v>0</v>
      </c>
      <c r="E118" s="8">
        <v>0</v>
      </c>
      <c r="F118" s="149">
        <v>-11200.716845878136</v>
      </c>
      <c r="G118" s="8">
        <v>0</v>
      </c>
      <c r="H118" s="8">
        <v>0</v>
      </c>
      <c r="I118" s="1">
        <f t="shared" ref="I118:P118" si="33">I146</f>
        <v>0</v>
      </c>
      <c r="J118" s="1">
        <f t="shared" si="33"/>
        <v>0</v>
      </c>
      <c r="K118" s="1">
        <f t="shared" si="33"/>
        <v>0</v>
      </c>
      <c r="L118" s="1">
        <f t="shared" si="33"/>
        <v>0</v>
      </c>
      <c r="M118" s="1">
        <f t="shared" si="33"/>
        <v>0</v>
      </c>
      <c r="N118" s="1">
        <f t="shared" si="33"/>
        <v>-10000</v>
      </c>
      <c r="O118" s="1">
        <f t="shared" si="33"/>
        <v>0</v>
      </c>
      <c r="P118" s="1">
        <f t="shared" si="33"/>
        <v>0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outlineLevel="1" x14ac:dyDescent="0.25">
      <c r="A119" s="1" t="s">
        <v>197</v>
      </c>
      <c r="B119" s="1"/>
      <c r="C119" s="2"/>
      <c r="D119" s="149">
        <v>39202.508960573476</v>
      </c>
      <c r="E119" s="8">
        <v>0</v>
      </c>
      <c r="F119" s="8">
        <v>0</v>
      </c>
      <c r="G119" s="8">
        <v>0</v>
      </c>
      <c r="H119" s="8">
        <v>0</v>
      </c>
      <c r="I119" s="1">
        <f t="shared" ref="I119:P119" si="34">I57</f>
        <v>0</v>
      </c>
      <c r="J119" s="1">
        <f t="shared" si="34"/>
        <v>0</v>
      </c>
      <c r="K119" s="1">
        <f t="shared" si="34"/>
        <v>0</v>
      </c>
      <c r="L119" s="1">
        <f t="shared" si="34"/>
        <v>0</v>
      </c>
      <c r="M119" s="1">
        <f t="shared" si="34"/>
        <v>0</v>
      </c>
      <c r="N119" s="1">
        <f t="shared" si="34"/>
        <v>0</v>
      </c>
      <c r="O119" s="1">
        <f t="shared" si="34"/>
        <v>0</v>
      </c>
      <c r="P119" s="1">
        <f t="shared" si="34"/>
        <v>0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outlineLevel="1" x14ac:dyDescent="0.25">
      <c r="A120" s="1" t="s">
        <v>198</v>
      </c>
      <c r="B120" s="1"/>
      <c r="C120" s="2"/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1">
        <f t="shared" ref="I120:P120" si="35">-I58</f>
        <v>0</v>
      </c>
      <c r="J120" s="1">
        <f t="shared" si="35"/>
        <v>0</v>
      </c>
      <c r="K120" s="1">
        <f t="shared" si="35"/>
        <v>0</v>
      </c>
      <c r="L120" s="1">
        <f t="shared" si="35"/>
        <v>0</v>
      </c>
      <c r="M120" s="1">
        <f t="shared" si="35"/>
        <v>-200</v>
      </c>
      <c r="N120" s="1">
        <f t="shared" si="35"/>
        <v>-200</v>
      </c>
      <c r="O120" s="1">
        <f t="shared" si="35"/>
        <v>0</v>
      </c>
      <c r="P120" s="1">
        <f t="shared" si="35"/>
        <v>0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outlineLevel="1" x14ac:dyDescent="0.25">
      <c r="A121" s="97" t="s">
        <v>199</v>
      </c>
      <c r="B121" s="94"/>
      <c r="C121" s="100"/>
      <c r="D121" s="97">
        <f t="shared" ref="D121:P121" si="36">SUM(D118:D120)</f>
        <v>39202.508960573476</v>
      </c>
      <c r="E121" s="97">
        <f t="shared" si="36"/>
        <v>0</v>
      </c>
      <c r="F121" s="97">
        <f t="shared" si="36"/>
        <v>-11200.716845878136</v>
      </c>
      <c r="G121" s="97">
        <f t="shared" si="36"/>
        <v>0</v>
      </c>
      <c r="H121" s="97">
        <f t="shared" si="36"/>
        <v>0</v>
      </c>
      <c r="I121" s="97">
        <f t="shared" si="36"/>
        <v>0</v>
      </c>
      <c r="J121" s="97">
        <f t="shared" si="36"/>
        <v>0</v>
      </c>
      <c r="K121" s="97">
        <f t="shared" si="36"/>
        <v>0</v>
      </c>
      <c r="L121" s="97">
        <f t="shared" si="36"/>
        <v>0</v>
      </c>
      <c r="M121" s="97">
        <f t="shared" si="36"/>
        <v>-200</v>
      </c>
      <c r="N121" s="97">
        <f t="shared" si="36"/>
        <v>-10200</v>
      </c>
      <c r="O121" s="97">
        <f t="shared" si="36"/>
        <v>0</v>
      </c>
      <c r="P121" s="97">
        <f t="shared" si="36"/>
        <v>0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outlineLevel="1" x14ac:dyDescent="0.25">
      <c r="A122" s="14"/>
      <c r="B122" s="1"/>
      <c r="C122" s="2"/>
      <c r="D122" s="51"/>
      <c r="E122" s="51"/>
      <c r="F122" s="51"/>
      <c r="G122" s="51"/>
      <c r="H122" s="51"/>
      <c r="I122" s="14"/>
      <c r="J122" s="14"/>
      <c r="K122" s="14"/>
      <c r="L122" s="14"/>
      <c r="M122" s="14"/>
      <c r="N122" s="14"/>
      <c r="O122" s="14"/>
      <c r="P122" s="14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outlineLevel="1" x14ac:dyDescent="0.25">
      <c r="A123" s="1" t="s">
        <v>200</v>
      </c>
      <c r="B123" s="1"/>
      <c r="C123" s="2"/>
      <c r="D123" s="1">
        <f t="shared" ref="D123:P123" si="37">D110+D115+D121</f>
        <v>37573.461592473119</v>
      </c>
      <c r="E123" s="1">
        <f t="shared" si="37"/>
        <v>5276.7241340786859</v>
      </c>
      <c r="F123" s="1">
        <f t="shared" si="37"/>
        <v>-2329.0482743668872</v>
      </c>
      <c r="G123" s="1">
        <f t="shared" si="37"/>
        <v>10520.126425029006</v>
      </c>
      <c r="H123" s="1">
        <f t="shared" si="37"/>
        <v>10847.367240659134</v>
      </c>
      <c r="I123" s="1">
        <f t="shared" si="37"/>
        <v>15176.156551038446</v>
      </c>
      <c r="J123" s="1">
        <f t="shared" si="37"/>
        <v>22523.877345430108</v>
      </c>
      <c r="K123" s="1">
        <f t="shared" si="37"/>
        <v>26440.447188054197</v>
      </c>
      <c r="L123" s="1">
        <f t="shared" si="37"/>
        <v>30215.057805408753</v>
      </c>
      <c r="M123" s="1">
        <f t="shared" si="37"/>
        <v>33492.007360315256</v>
      </c>
      <c r="N123" s="1">
        <f t="shared" si="37"/>
        <v>26929.543661297648</v>
      </c>
      <c r="O123" s="1">
        <f t="shared" si="37"/>
        <v>38119.316731744904</v>
      </c>
      <c r="P123" s="1">
        <f t="shared" si="37"/>
        <v>47580.487071402153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outlineLevel="1" x14ac:dyDescent="0.25">
      <c r="A124" s="1" t="s">
        <v>201</v>
      </c>
      <c r="B124" s="1"/>
      <c r="C124" s="2"/>
      <c r="D124" s="8">
        <f>D81-D123</f>
        <v>0</v>
      </c>
      <c r="E124" s="1">
        <f t="shared" ref="E124:N124" si="38">D125</f>
        <v>37573.461592473119</v>
      </c>
      <c r="F124" s="1">
        <f t="shared" si="38"/>
        <v>42850.185726551805</v>
      </c>
      <c r="G124" s="1">
        <f t="shared" si="38"/>
        <v>40521.137452184921</v>
      </c>
      <c r="H124" s="1">
        <f t="shared" si="38"/>
        <v>51041.263877213925</v>
      </c>
      <c r="I124" s="1">
        <f t="shared" si="38"/>
        <v>61888.631117873061</v>
      </c>
      <c r="J124" s="1">
        <f t="shared" si="38"/>
        <v>77064.787668911507</v>
      </c>
      <c r="K124" s="1">
        <f t="shared" si="38"/>
        <v>99588.665014341619</v>
      </c>
      <c r="L124" s="1">
        <f t="shared" si="38"/>
        <v>126029.11220239582</v>
      </c>
      <c r="M124" s="1">
        <f t="shared" si="38"/>
        <v>156244.17000780458</v>
      </c>
      <c r="N124" s="1">
        <f t="shared" si="38"/>
        <v>189736.17736811982</v>
      </c>
      <c r="O124" s="1">
        <v>216666</v>
      </c>
      <c r="P124" s="1">
        <f>+O125</f>
        <v>254785.31673174491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outlineLevel="1" x14ac:dyDescent="0.25">
      <c r="A125" s="97" t="s">
        <v>202</v>
      </c>
      <c r="B125" s="94"/>
      <c r="C125" s="100"/>
      <c r="D125" s="97">
        <f t="shared" ref="D125:P125" si="39">SUM(D123:D124)</f>
        <v>37573.461592473119</v>
      </c>
      <c r="E125" s="97">
        <f t="shared" si="39"/>
        <v>42850.185726551805</v>
      </c>
      <c r="F125" s="97">
        <f t="shared" si="39"/>
        <v>40521.137452184921</v>
      </c>
      <c r="G125" s="97">
        <f t="shared" si="39"/>
        <v>51041.263877213925</v>
      </c>
      <c r="H125" s="97">
        <f t="shared" si="39"/>
        <v>61888.631117873061</v>
      </c>
      <c r="I125" s="97">
        <f t="shared" si="39"/>
        <v>77064.787668911507</v>
      </c>
      <c r="J125" s="97">
        <f t="shared" si="39"/>
        <v>99588.665014341619</v>
      </c>
      <c r="K125" s="97">
        <f t="shared" si="39"/>
        <v>126029.11220239582</v>
      </c>
      <c r="L125" s="97">
        <f t="shared" si="39"/>
        <v>156244.17000780458</v>
      </c>
      <c r="M125" s="97">
        <f t="shared" si="39"/>
        <v>189736.17736811982</v>
      </c>
      <c r="N125" s="97">
        <f t="shared" si="39"/>
        <v>216665.72102941747</v>
      </c>
      <c r="O125" s="97">
        <f t="shared" si="39"/>
        <v>254785.31673174491</v>
      </c>
      <c r="P125" s="97">
        <f t="shared" si="39"/>
        <v>302365.80380314705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outlineLevel="1" x14ac:dyDescent="0.25">
      <c r="A126" s="14"/>
      <c r="B126" s="1"/>
      <c r="C126" s="2"/>
      <c r="D126" s="51"/>
      <c r="E126" s="8"/>
      <c r="F126" s="8"/>
      <c r="G126" s="8"/>
      <c r="H126" s="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outlineLevel="1" x14ac:dyDescent="0.25">
      <c r="A127" s="14"/>
      <c r="B127" s="1"/>
      <c r="C127" s="2"/>
      <c r="D127" s="51"/>
      <c r="E127" s="8"/>
      <c r="F127" s="8"/>
      <c r="G127" s="8"/>
      <c r="H127" s="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x14ac:dyDescent="0.25">
      <c r="A128" s="1"/>
      <c r="B128" s="1"/>
      <c r="C128" s="2"/>
      <c r="D128" s="8"/>
      <c r="E128" s="8"/>
      <c r="F128" s="8"/>
      <c r="G128" s="8"/>
      <c r="H128" s="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x14ac:dyDescent="0.35">
      <c r="A129" s="88" t="s">
        <v>203</v>
      </c>
      <c r="B129" s="89"/>
      <c r="C129" s="90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outlineLevel="1" x14ac:dyDescent="0.25">
      <c r="A130" s="1"/>
      <c r="B130" s="1"/>
      <c r="C130" s="2"/>
      <c r="D130" s="8"/>
      <c r="E130" s="8"/>
      <c r="F130" s="8"/>
      <c r="G130" s="8"/>
      <c r="H130" s="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outlineLevel="1" x14ac:dyDescent="0.25">
      <c r="A131" s="14" t="s">
        <v>204</v>
      </c>
      <c r="B131" s="1"/>
      <c r="C131" s="2"/>
      <c r="D131" s="8"/>
      <c r="E131" s="8"/>
      <c r="F131" s="8"/>
      <c r="G131" s="8"/>
      <c r="H131" s="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outlineLevel="1" x14ac:dyDescent="0.25">
      <c r="A132" s="1" t="s">
        <v>98</v>
      </c>
      <c r="B132" s="1"/>
      <c r="C132" s="2"/>
      <c r="D132" s="1">
        <f t="shared" ref="D132:P132" si="40">D82</f>
        <v>2856.3788082437277</v>
      </c>
      <c r="E132" s="1">
        <f t="shared" si="40"/>
        <v>3306.619623655914</v>
      </c>
      <c r="F132" s="1">
        <f t="shared" si="40"/>
        <v>3677.8953853046592</v>
      </c>
      <c r="G132" s="1">
        <f t="shared" si="40"/>
        <v>3985.80309139785</v>
      </c>
      <c r="H132" s="1">
        <f t="shared" si="40"/>
        <v>4221.8862007168455</v>
      </c>
      <c r="I132" s="1">
        <f t="shared" si="40"/>
        <v>5852.8066234595181</v>
      </c>
      <c r="J132" s="1">
        <f t="shared" si="40"/>
        <v>5506.9589593460005</v>
      </c>
      <c r="K132" s="1">
        <f t="shared" si="40"/>
        <v>6167.7940344675217</v>
      </c>
      <c r="L132" s="1">
        <f t="shared" si="40"/>
        <v>6784.5734379142741</v>
      </c>
      <c r="M132" s="1">
        <f t="shared" si="40"/>
        <v>7327.3393129474161</v>
      </c>
      <c r="N132" s="1">
        <f t="shared" si="40"/>
        <v>7766.9796717242616</v>
      </c>
      <c r="O132" s="1">
        <f t="shared" si="40"/>
        <v>10916.921427479101</v>
      </c>
      <c r="P132" s="1">
        <f t="shared" si="40"/>
        <v>12554.459641600964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outlineLevel="1" x14ac:dyDescent="0.25">
      <c r="A133" s="1" t="s">
        <v>99</v>
      </c>
      <c r="B133" s="1"/>
      <c r="C133" s="2"/>
      <c r="D133" s="1">
        <f t="shared" ref="D133:P133" si="41">D83</f>
        <v>4370.8557347670248</v>
      </c>
      <c r="E133" s="1">
        <f t="shared" si="41"/>
        <v>5376.7921146953413</v>
      </c>
      <c r="F133" s="1">
        <f t="shared" si="41"/>
        <v>5502.1281362007167</v>
      </c>
      <c r="G133" s="1">
        <f t="shared" si="41"/>
        <v>5897.6254480286743</v>
      </c>
      <c r="H133" s="1">
        <f t="shared" si="41"/>
        <v>6351.9265232974894</v>
      </c>
      <c r="I133" s="1">
        <f t="shared" si="41"/>
        <v>8380.1549381352179</v>
      </c>
      <c r="J133" s="1">
        <f t="shared" si="41"/>
        <v>9407.7215555494167</v>
      </c>
      <c r="K133" s="1">
        <f t="shared" si="41"/>
        <v>10279.656724112536</v>
      </c>
      <c r="L133" s="1">
        <f t="shared" si="41"/>
        <v>11307.62239652379</v>
      </c>
      <c r="M133" s="1">
        <f t="shared" si="41"/>
        <v>12212.232188245694</v>
      </c>
      <c r="N133" s="1">
        <f t="shared" si="41"/>
        <v>12944.966119540437</v>
      </c>
      <c r="O133" s="1">
        <f t="shared" si="41"/>
        <v>15631.046589345075</v>
      </c>
      <c r="P133" s="1">
        <f t="shared" si="41"/>
        <v>17975.703577746834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outlineLevel="1" x14ac:dyDescent="0.25">
      <c r="A134" s="1" t="s">
        <v>106</v>
      </c>
      <c r="B134" s="1"/>
      <c r="C134" s="2"/>
      <c r="D134" s="167">
        <v>2185.4278673835124</v>
      </c>
      <c r="E134" s="167">
        <v>2688.3960573476702</v>
      </c>
      <c r="F134" s="167">
        <v>2751.0640681003583</v>
      </c>
      <c r="G134" s="167">
        <v>2948.8127240143372</v>
      </c>
      <c r="H134" s="167">
        <v>3175.9632616487452</v>
      </c>
      <c r="I134" s="1">
        <f t="shared" ref="I134:P134" si="42">I91</f>
        <v>4357.6805678303126</v>
      </c>
      <c r="J134" s="1">
        <f t="shared" si="42"/>
        <v>4892.0152088856967</v>
      </c>
      <c r="K134" s="1">
        <f t="shared" si="42"/>
        <v>5345.421496538519</v>
      </c>
      <c r="L134" s="1">
        <f t="shared" si="42"/>
        <v>5879.9636461923719</v>
      </c>
      <c r="M134" s="1">
        <f t="shared" si="42"/>
        <v>6350.3607378877614</v>
      </c>
      <c r="N134" s="1">
        <f t="shared" si="42"/>
        <v>6731.3823821610276</v>
      </c>
      <c r="O134" s="1">
        <f t="shared" si="42"/>
        <v>8128.144226459438</v>
      </c>
      <c r="P134" s="1">
        <f t="shared" si="42"/>
        <v>9347.3658604283537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outlineLevel="1" x14ac:dyDescent="0.25">
      <c r="A135" s="94" t="s">
        <v>205</v>
      </c>
      <c r="B135" s="94"/>
      <c r="C135" s="100"/>
      <c r="D135" s="94">
        <f t="shared" ref="D135:P135" si="43">D132+D133-D134</f>
        <v>5041.8066756272401</v>
      </c>
      <c r="E135" s="94">
        <f t="shared" si="43"/>
        <v>5995.0156810035842</v>
      </c>
      <c r="F135" s="94">
        <f t="shared" si="43"/>
        <v>6428.9594534050175</v>
      </c>
      <c r="G135" s="94">
        <f t="shared" si="43"/>
        <v>6934.6158154121877</v>
      </c>
      <c r="H135" s="94">
        <f t="shared" si="43"/>
        <v>7397.8494623655897</v>
      </c>
      <c r="I135" s="94">
        <f t="shared" si="43"/>
        <v>9875.2809937644233</v>
      </c>
      <c r="J135" s="94">
        <f t="shared" si="43"/>
        <v>10022.66530600972</v>
      </c>
      <c r="K135" s="94">
        <f t="shared" si="43"/>
        <v>11102.029262041538</v>
      </c>
      <c r="L135" s="94">
        <f t="shared" si="43"/>
        <v>12212.232188245689</v>
      </c>
      <c r="M135" s="94">
        <f t="shared" si="43"/>
        <v>13189.210763305349</v>
      </c>
      <c r="N135" s="94">
        <f t="shared" si="43"/>
        <v>13980.56340910367</v>
      </c>
      <c r="O135" s="94">
        <f t="shared" si="43"/>
        <v>18419.823790364739</v>
      </c>
      <c r="P135" s="94">
        <f t="shared" si="43"/>
        <v>21182.797358919444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outlineLevel="1" x14ac:dyDescent="0.25">
      <c r="A136" s="1" t="s">
        <v>206</v>
      </c>
      <c r="B136" s="1"/>
      <c r="C136" s="2"/>
      <c r="D136" s="1">
        <f t="shared" ref="D136:N136" si="44">D135-C135</f>
        <v>5041.8066756272401</v>
      </c>
      <c r="E136" s="1">
        <f t="shared" si="44"/>
        <v>953.20900537634407</v>
      </c>
      <c r="F136" s="1">
        <f t="shared" si="44"/>
        <v>433.94377240143331</v>
      </c>
      <c r="G136" s="1">
        <f t="shared" si="44"/>
        <v>505.65636200717017</v>
      </c>
      <c r="H136" s="1">
        <f t="shared" si="44"/>
        <v>463.23364695340206</v>
      </c>
      <c r="I136" s="193">
        <f t="shared" si="44"/>
        <v>2477.4315313988336</v>
      </c>
      <c r="J136" s="1">
        <v>148</v>
      </c>
      <c r="K136" s="1">
        <f t="shared" si="44"/>
        <v>1079.3639560318188</v>
      </c>
      <c r="L136" s="1">
        <f t="shared" si="44"/>
        <v>1110.2029262041506</v>
      </c>
      <c r="M136" s="1">
        <f t="shared" si="44"/>
        <v>976.97857505966022</v>
      </c>
      <c r="N136" s="1">
        <f t="shared" si="44"/>
        <v>791.35264579832074</v>
      </c>
      <c r="O136" s="1">
        <f>O135-N135</f>
        <v>4439.2603812610687</v>
      </c>
      <c r="P136" s="1">
        <f>P135-O135</f>
        <v>2762.9735685547057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outlineLevel="1" x14ac:dyDescent="0.25">
      <c r="A137" s="1"/>
      <c r="B137" s="1"/>
      <c r="C137" s="2"/>
      <c r="D137" s="8"/>
      <c r="E137" s="8"/>
      <c r="F137" s="8"/>
      <c r="G137" s="8"/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outlineLevel="1" x14ac:dyDescent="0.25">
      <c r="A138" s="14" t="s">
        <v>207</v>
      </c>
      <c r="B138" s="1"/>
      <c r="C138" s="2"/>
      <c r="D138" s="8"/>
      <c r="E138" s="8"/>
      <c r="F138" s="8"/>
      <c r="G138" s="8"/>
      <c r="H138" s="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outlineLevel="1" x14ac:dyDescent="0.25">
      <c r="A139" s="1" t="s">
        <v>208</v>
      </c>
      <c r="B139" s="1"/>
      <c r="C139" s="2"/>
      <c r="D139" s="149">
        <v>28001.792114695338</v>
      </c>
      <c r="E139" s="149">
        <v>25481.630824372758</v>
      </c>
      <c r="F139" s="149">
        <v>23717.517921146951</v>
      </c>
      <c r="G139" s="149">
        <v>22482.638888888887</v>
      </c>
      <c r="H139" s="149">
        <v>21618.223566308243</v>
      </c>
      <c r="I139" s="1">
        <f t="shared" ref="I139:N139" si="45">H142</f>
        <v>21013.132840501792</v>
      </c>
      <c r="J139" s="1">
        <f t="shared" si="45"/>
        <v>22560.506272401435</v>
      </c>
      <c r="K139" s="1">
        <f t="shared" si="45"/>
        <v>23798.405017921148</v>
      </c>
      <c r="L139" s="1">
        <f t="shared" si="45"/>
        <v>24788.72401433692</v>
      </c>
      <c r="M139" s="1">
        <f t="shared" si="45"/>
        <v>25580.979211469537</v>
      </c>
      <c r="N139" s="1">
        <f t="shared" si="45"/>
        <v>26214.783369175631</v>
      </c>
      <c r="O139" s="1">
        <v>26722</v>
      </c>
      <c r="P139" s="1">
        <f>+O142</f>
        <v>27127.599999999999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outlineLevel="1" x14ac:dyDescent="0.25">
      <c r="A140" s="1" t="s">
        <v>209</v>
      </c>
      <c r="B140" s="1"/>
      <c r="C140" s="2"/>
      <c r="D140" s="149">
        <v>8400.5376344086017</v>
      </c>
      <c r="E140" s="149">
        <v>8400.5376344086017</v>
      </c>
      <c r="F140" s="149">
        <v>8400.5376344086017</v>
      </c>
      <c r="G140" s="149">
        <v>8400.5376344086017</v>
      </c>
      <c r="H140" s="149">
        <v>8400.5376344086017</v>
      </c>
      <c r="I140" s="1">
        <f t="shared" ref="I140:N140" si="46">I55</f>
        <v>5750</v>
      </c>
      <c r="J140" s="1">
        <f t="shared" si="46"/>
        <v>5750</v>
      </c>
      <c r="K140" s="1">
        <f t="shared" si="46"/>
        <v>5750</v>
      </c>
      <c r="L140" s="1">
        <f t="shared" si="46"/>
        <v>5750</v>
      </c>
      <c r="M140" s="1">
        <f t="shared" si="46"/>
        <v>5750</v>
      </c>
      <c r="N140" s="1">
        <f t="shared" si="46"/>
        <v>5750</v>
      </c>
      <c r="O140" s="1">
        <f t="shared" ref="O140:P140" si="47">+$I140*O$6</f>
        <v>5750</v>
      </c>
      <c r="P140" s="1">
        <f t="shared" si="47"/>
        <v>5750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outlineLevel="1" x14ac:dyDescent="0.25">
      <c r="A141" s="1" t="s">
        <v>210</v>
      </c>
      <c r="B141" s="1"/>
      <c r="C141" s="61"/>
      <c r="D141" s="151">
        <v>10920.698924731183</v>
      </c>
      <c r="E141" s="151">
        <v>10164.650537634408</v>
      </c>
      <c r="F141" s="151">
        <v>9635.4166666666661</v>
      </c>
      <c r="G141" s="151">
        <v>9264.9529569892475</v>
      </c>
      <c r="H141" s="151">
        <v>9005.6283602150525</v>
      </c>
      <c r="I141" s="60">
        <f>I139*0.2</f>
        <v>4202.6265681003588</v>
      </c>
      <c r="J141" s="60">
        <f t="shared" ref="J141:P141" si="48">J139*0.2</f>
        <v>4512.101254480287</v>
      </c>
      <c r="K141" s="60">
        <f t="shared" si="48"/>
        <v>4759.68100358423</v>
      </c>
      <c r="L141" s="60">
        <f t="shared" si="48"/>
        <v>4957.7448028673844</v>
      </c>
      <c r="M141" s="60">
        <f t="shared" si="48"/>
        <v>5116.1958422939078</v>
      </c>
      <c r="N141" s="60">
        <f t="shared" si="48"/>
        <v>5242.9566738351268</v>
      </c>
      <c r="O141" s="60">
        <f t="shared" si="48"/>
        <v>5344.4000000000005</v>
      </c>
      <c r="P141" s="60">
        <f t="shared" si="48"/>
        <v>5425.52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outlineLevel="1" x14ac:dyDescent="0.25">
      <c r="A142" s="94" t="s">
        <v>211</v>
      </c>
      <c r="B142" s="94"/>
      <c r="C142" s="100"/>
      <c r="D142" s="94">
        <f t="shared" ref="D142:P142" si="49">D139+D140-D141</f>
        <v>25481.630824372758</v>
      </c>
      <c r="E142" s="94">
        <f t="shared" si="49"/>
        <v>23717.517921146951</v>
      </c>
      <c r="F142" s="94">
        <f t="shared" si="49"/>
        <v>22482.638888888891</v>
      </c>
      <c r="G142" s="94">
        <f t="shared" si="49"/>
        <v>21618.223566308239</v>
      </c>
      <c r="H142" s="94">
        <f t="shared" si="49"/>
        <v>21013.132840501792</v>
      </c>
      <c r="I142" s="94">
        <f t="shared" si="49"/>
        <v>22560.506272401435</v>
      </c>
      <c r="J142" s="94">
        <f t="shared" si="49"/>
        <v>23798.405017921148</v>
      </c>
      <c r="K142" s="94">
        <f t="shared" si="49"/>
        <v>24788.72401433692</v>
      </c>
      <c r="L142" s="94">
        <f t="shared" si="49"/>
        <v>25580.979211469537</v>
      </c>
      <c r="M142" s="94">
        <f t="shared" si="49"/>
        <v>26214.783369175631</v>
      </c>
      <c r="N142" s="94">
        <f t="shared" si="49"/>
        <v>26721.826695340504</v>
      </c>
      <c r="O142" s="94">
        <f t="shared" si="49"/>
        <v>27127.599999999999</v>
      </c>
      <c r="P142" s="94">
        <f t="shared" si="49"/>
        <v>27452.079999999998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outlineLevel="1" x14ac:dyDescent="0.25">
      <c r="A143" s="1"/>
      <c r="B143" s="1"/>
      <c r="C143" s="2"/>
      <c r="D143" s="8"/>
      <c r="E143" s="8"/>
      <c r="F143" s="8"/>
      <c r="G143" s="8"/>
      <c r="H143" s="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outlineLevel="1" x14ac:dyDescent="0.25">
      <c r="A144" s="14" t="s">
        <v>269</v>
      </c>
      <c r="B144" s="1"/>
      <c r="C144" s="2"/>
      <c r="D144" s="8"/>
      <c r="E144" s="8"/>
      <c r="F144" s="8"/>
      <c r="G144" s="8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outlineLevel="1" x14ac:dyDescent="0.25">
      <c r="A145" s="1" t="s">
        <v>270</v>
      </c>
      <c r="B145" s="1"/>
      <c r="C145" s="2"/>
      <c r="D145" s="149">
        <v>28001.792114695338</v>
      </c>
      <c r="E145" s="149">
        <v>28001.792114695338</v>
      </c>
      <c r="F145" s="149">
        <v>28001.792114695338</v>
      </c>
      <c r="G145" s="149">
        <v>16801.075268817203</v>
      </c>
      <c r="H145" s="149">
        <v>16801.075268817203</v>
      </c>
      <c r="I145" s="1">
        <f t="shared" ref="I145:N145" si="50">H147</f>
        <v>16801.075268817203</v>
      </c>
      <c r="J145" s="1">
        <f t="shared" si="50"/>
        <v>16801.075268817203</v>
      </c>
      <c r="K145" s="1">
        <f t="shared" si="50"/>
        <v>16801.075268817203</v>
      </c>
      <c r="L145" s="1">
        <f t="shared" si="50"/>
        <v>16801.075268817203</v>
      </c>
      <c r="M145" s="1">
        <f t="shared" si="50"/>
        <v>16801.075268817203</v>
      </c>
      <c r="N145" s="1">
        <f t="shared" si="50"/>
        <v>16801.075268817203</v>
      </c>
      <c r="O145" s="1">
        <v>6801</v>
      </c>
      <c r="P145" s="1">
        <f>+O147</f>
        <v>6801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outlineLevel="1" x14ac:dyDescent="0.25">
      <c r="A146" s="1" t="s">
        <v>271</v>
      </c>
      <c r="B146" s="1"/>
      <c r="C146" s="2"/>
      <c r="D146" s="8"/>
      <c r="E146" s="8"/>
      <c r="F146" s="151">
        <v>-11200.716845878136</v>
      </c>
      <c r="G146" s="8"/>
      <c r="H146" s="8"/>
      <c r="I146" s="1">
        <f t="shared" ref="I146:N146" si="51">I56</f>
        <v>0</v>
      </c>
      <c r="J146" s="1">
        <f t="shared" si="51"/>
        <v>0</v>
      </c>
      <c r="K146" s="1">
        <f t="shared" si="51"/>
        <v>0</v>
      </c>
      <c r="L146" s="1">
        <f t="shared" si="51"/>
        <v>0</v>
      </c>
      <c r="M146" s="1">
        <f t="shared" si="51"/>
        <v>0</v>
      </c>
      <c r="N146" s="1">
        <f t="shared" si="51"/>
        <v>-10000</v>
      </c>
      <c r="O146" s="1">
        <f t="shared" ref="O146:P146" si="52">+$I146*O$6</f>
        <v>0</v>
      </c>
      <c r="P146" s="1">
        <f t="shared" si="52"/>
        <v>0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outlineLevel="1" x14ac:dyDescent="0.25">
      <c r="A147" s="94" t="s">
        <v>272</v>
      </c>
      <c r="B147" s="94"/>
      <c r="C147" s="100"/>
      <c r="D147" s="94">
        <f t="shared" ref="D147:P147" si="53">SUM(D145:D146)</f>
        <v>28001.792114695338</v>
      </c>
      <c r="E147" s="94">
        <f t="shared" si="53"/>
        <v>28001.792114695338</v>
      </c>
      <c r="F147" s="94">
        <f t="shared" si="53"/>
        <v>16801.0752688172</v>
      </c>
      <c r="G147" s="94">
        <f t="shared" si="53"/>
        <v>16801.075268817203</v>
      </c>
      <c r="H147" s="94">
        <f t="shared" si="53"/>
        <v>16801.075268817203</v>
      </c>
      <c r="I147" s="94">
        <f t="shared" si="53"/>
        <v>16801.075268817203</v>
      </c>
      <c r="J147" s="94">
        <f t="shared" si="53"/>
        <v>16801.075268817203</v>
      </c>
      <c r="K147" s="94">
        <f t="shared" si="53"/>
        <v>16801.075268817203</v>
      </c>
      <c r="L147" s="94">
        <f t="shared" si="53"/>
        <v>16801.075268817203</v>
      </c>
      <c r="M147" s="94">
        <f t="shared" si="53"/>
        <v>16801.075268817203</v>
      </c>
      <c r="N147" s="94">
        <f t="shared" si="53"/>
        <v>6801.0752688172033</v>
      </c>
      <c r="O147" s="94">
        <f t="shared" si="53"/>
        <v>6801</v>
      </c>
      <c r="P147" s="94">
        <f t="shared" si="53"/>
        <v>6801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outlineLevel="1" x14ac:dyDescent="0.25">
      <c r="A148" s="1" t="s">
        <v>273</v>
      </c>
      <c r="B148" s="1"/>
      <c r="C148" s="61"/>
      <c r="D148" s="149">
        <v>1400.089605734767</v>
      </c>
      <c r="E148" s="149">
        <v>1400.089605734767</v>
      </c>
      <c r="F148" s="149">
        <v>840.05376344086017</v>
      </c>
      <c r="G148" s="149">
        <v>840.05376344086017</v>
      </c>
      <c r="H148" s="149">
        <v>840.05376344086017</v>
      </c>
      <c r="I148" s="1">
        <f t="shared" ref="I148:N148" si="54">I147*I50</f>
        <v>1344.0860215053763</v>
      </c>
      <c r="J148" s="1">
        <f t="shared" si="54"/>
        <v>1344.0860215053763</v>
      </c>
      <c r="K148" s="1">
        <f t="shared" si="54"/>
        <v>1344.0860215053763</v>
      </c>
      <c r="L148" s="1">
        <f t="shared" si="54"/>
        <v>1344.0860215053763</v>
      </c>
      <c r="M148" s="1">
        <f t="shared" si="54"/>
        <v>1344.0860215053763</v>
      </c>
      <c r="N148" s="1">
        <f t="shared" si="54"/>
        <v>544.08602150537627</v>
      </c>
      <c r="O148" s="1">
        <f>O147*O50</f>
        <v>544.08000000000004</v>
      </c>
      <c r="P148" s="1">
        <f>P147*P50</f>
        <v>544.08000000000004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outlineLevel="1" x14ac:dyDescent="0.25">
      <c r="A149" s="1"/>
      <c r="B149" s="1"/>
      <c r="C149" s="2"/>
      <c r="D149" s="8"/>
      <c r="E149" s="8"/>
      <c r="F149" s="8"/>
      <c r="G149" s="8"/>
      <c r="H149" s="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outlineLevel="1" x14ac:dyDescent="0.25">
      <c r="A150" s="1"/>
      <c r="B150" s="1"/>
      <c r="C150" s="2"/>
      <c r="D150" s="8"/>
      <c r="E150" s="8"/>
      <c r="F150" s="8"/>
      <c r="G150" s="8"/>
      <c r="H150" s="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x14ac:dyDescent="0.25">
      <c r="A151" s="1"/>
      <c r="B151" s="1"/>
      <c r="C151" s="2"/>
      <c r="D151" s="8"/>
      <c r="E151" s="8"/>
      <c r="F151" s="8"/>
      <c r="G151" s="8"/>
      <c r="H151" s="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x14ac:dyDescent="0.35">
      <c r="A152" s="88" t="s">
        <v>138</v>
      </c>
      <c r="B152" s="89"/>
      <c r="C152" s="90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outlineLevel="1" x14ac:dyDescent="0.25">
      <c r="A153" s="14"/>
      <c r="B153" s="1"/>
      <c r="C153" s="2"/>
      <c r="D153" s="8"/>
      <c r="E153" s="8"/>
      <c r="F153" s="8"/>
      <c r="G153" s="8"/>
      <c r="H153" s="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outlineLevel="1" x14ac:dyDescent="0.25">
      <c r="A154" s="14" t="s">
        <v>0</v>
      </c>
      <c r="B154" s="8"/>
      <c r="C154" s="8"/>
      <c r="D154" s="8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outlineLevel="1" x14ac:dyDescent="0.25">
      <c r="A155" s="94" t="s">
        <v>223</v>
      </c>
      <c r="B155" s="95"/>
      <c r="C155" s="131"/>
      <c r="D155" s="144">
        <v>0.25</v>
      </c>
      <c r="E155" s="1"/>
      <c r="F155" s="1"/>
      <c r="G155" s="1"/>
      <c r="H155" s="144">
        <v>0.25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outlineLevel="1" x14ac:dyDescent="0.25">
      <c r="A156" s="1" t="s">
        <v>224</v>
      </c>
      <c r="B156" s="1"/>
      <c r="C156" s="41"/>
      <c r="D156" s="145">
        <v>0.12</v>
      </c>
      <c r="E156" s="1"/>
      <c r="F156" s="1"/>
      <c r="G156" s="1"/>
      <c r="H156" s="145">
        <v>0.12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outlineLevel="1" x14ac:dyDescent="0.25">
      <c r="A157" s="1" t="s">
        <v>225</v>
      </c>
      <c r="B157" s="1"/>
      <c r="C157" s="41"/>
      <c r="D157" s="145">
        <v>0.04</v>
      </c>
      <c r="E157" s="1"/>
      <c r="F157" s="1"/>
      <c r="G157" s="1"/>
      <c r="H157" s="145">
        <v>0.04</v>
      </c>
      <c r="I157" s="1"/>
      <c r="J157" s="61"/>
      <c r="K157" s="61"/>
      <c r="L157" s="61"/>
      <c r="M157" s="61"/>
      <c r="N157" s="6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outlineLevel="1" x14ac:dyDescent="0.25">
      <c r="A158" s="1" t="s">
        <v>226</v>
      </c>
      <c r="B158" s="1"/>
      <c r="C158" s="68"/>
      <c r="D158" s="146">
        <v>8</v>
      </c>
      <c r="E158" s="1"/>
      <c r="F158" s="1"/>
      <c r="G158" s="1"/>
      <c r="H158" s="146">
        <v>8</v>
      </c>
      <c r="I158" s="1"/>
      <c r="J158" s="61"/>
      <c r="K158" s="61"/>
      <c r="L158" s="61"/>
      <c r="M158" s="61"/>
      <c r="N158" s="6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outlineLevel="1" x14ac:dyDescent="0.25">
      <c r="A159" s="1" t="s">
        <v>227</v>
      </c>
      <c r="B159" s="1"/>
      <c r="C159" s="69">
        <f>'M&amp;A Assumptions &amp; Analysis'!D9</f>
        <v>17.3</v>
      </c>
      <c r="D159" s="1"/>
      <c r="E159" s="1"/>
      <c r="F159" s="1"/>
      <c r="G159" s="1"/>
      <c r="H159" s="1"/>
      <c r="I159" s="1"/>
      <c r="J159" s="61"/>
      <c r="K159" s="61"/>
      <c r="L159" s="61"/>
      <c r="M159" s="61"/>
      <c r="N159" s="6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outlineLevel="1" x14ac:dyDescent="0.25">
      <c r="A160" s="1" t="s">
        <v>148</v>
      </c>
      <c r="B160" s="1"/>
      <c r="C160" s="70">
        <f>'M&amp;A Assumptions &amp; Analysis'!D23</f>
        <v>25000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outlineLevel="1" x14ac:dyDescent="0.25">
      <c r="A161" s="1"/>
      <c r="B161" s="1"/>
      <c r="C161" s="7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outlineLevel="1" x14ac:dyDescent="0.25">
      <c r="A162" s="1"/>
      <c r="B162" s="1"/>
      <c r="C162" s="15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outlineLevel="1" x14ac:dyDescent="0.25">
      <c r="A163" s="14" t="s">
        <v>228</v>
      </c>
      <c r="B163" s="1"/>
      <c r="C163" s="28" t="s">
        <v>229</v>
      </c>
      <c r="D163" s="72">
        <f>I2</f>
        <v>2025</v>
      </c>
      <c r="E163" s="73">
        <f t="shared" ref="E163:I163" si="55">+D163+1</f>
        <v>2026</v>
      </c>
      <c r="F163" s="73">
        <f t="shared" si="55"/>
        <v>2027</v>
      </c>
      <c r="G163" s="73">
        <f t="shared" si="55"/>
        <v>2028</v>
      </c>
      <c r="H163" s="73">
        <f t="shared" si="55"/>
        <v>2029</v>
      </c>
      <c r="I163" s="73">
        <f t="shared" si="55"/>
        <v>2030</v>
      </c>
      <c r="J163" s="28" t="s">
        <v>230</v>
      </c>
      <c r="K163" s="1"/>
      <c r="L163" s="14" t="s">
        <v>231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outlineLevel="1" x14ac:dyDescent="0.25">
      <c r="A164" s="132" t="s">
        <v>232</v>
      </c>
      <c r="B164" s="132"/>
      <c r="C164" s="133">
        <f>'M&amp;A Assumptions &amp; Analysis'!$D$10</f>
        <v>45838</v>
      </c>
      <c r="D164" s="134">
        <f t="shared" ref="D164:I164" si="56">DATE(D163,12,31)</f>
        <v>46022</v>
      </c>
      <c r="E164" s="134">
        <f t="shared" si="56"/>
        <v>46387</v>
      </c>
      <c r="F164" s="134">
        <f t="shared" si="56"/>
        <v>46752</v>
      </c>
      <c r="G164" s="134">
        <f t="shared" si="56"/>
        <v>47118</v>
      </c>
      <c r="H164" s="134">
        <f t="shared" si="56"/>
        <v>47483</v>
      </c>
      <c r="I164" s="134">
        <f t="shared" si="56"/>
        <v>47848</v>
      </c>
      <c r="J164" s="134">
        <f>I164</f>
        <v>47848</v>
      </c>
      <c r="K164" s="1"/>
      <c r="L164" s="94" t="s">
        <v>233</v>
      </c>
      <c r="M164" s="94"/>
      <c r="N164" s="135">
        <f>C180/I171</f>
        <v>11.173281465166223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outlineLevel="1" x14ac:dyDescent="0.25">
      <c r="A165" s="25" t="s">
        <v>274</v>
      </c>
      <c r="B165" s="25"/>
      <c r="C165" s="25"/>
      <c r="D165" s="74">
        <f t="shared" ref="D165:I165" si="57">YEARFRAC(C164,D164)</f>
        <v>0.5</v>
      </c>
      <c r="E165" s="74">
        <f t="shared" si="57"/>
        <v>1</v>
      </c>
      <c r="F165" s="74">
        <f t="shared" si="57"/>
        <v>1</v>
      </c>
      <c r="G165" s="74">
        <f t="shared" si="57"/>
        <v>1</v>
      </c>
      <c r="H165" s="74">
        <f t="shared" si="57"/>
        <v>1</v>
      </c>
      <c r="I165" s="74">
        <f t="shared" si="57"/>
        <v>1</v>
      </c>
      <c r="J165" s="74">
        <f>H165</f>
        <v>1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outlineLevel="1" x14ac:dyDescent="0.25">
      <c r="A166" s="25"/>
      <c r="B166" s="25"/>
      <c r="C166" s="25"/>
      <c r="D166" s="74"/>
      <c r="E166" s="74"/>
      <c r="F166" s="74"/>
      <c r="G166" s="74"/>
      <c r="H166" s="74"/>
      <c r="I166" s="74"/>
      <c r="J166" s="36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outlineLevel="1" x14ac:dyDescent="0.25">
      <c r="A167" s="1" t="s">
        <v>234</v>
      </c>
      <c r="B167" s="1"/>
      <c r="C167" s="1"/>
      <c r="D167" s="1">
        <f t="shared" ref="D167:I167" si="58">I72+I70</f>
        <v>29580.794130824375</v>
      </c>
      <c r="E167" s="1">
        <f t="shared" si="58"/>
        <v>36505.521449372762</v>
      </c>
      <c r="F167" s="1">
        <f t="shared" si="58"/>
        <v>43270.747992831537</v>
      </c>
      <c r="G167" s="1">
        <f t="shared" si="58"/>
        <v>48575.727093189962</v>
      </c>
      <c r="H167" s="1">
        <f t="shared" si="58"/>
        <v>53259.953805448036</v>
      </c>
      <c r="I167" s="1">
        <f t="shared" si="58"/>
        <v>57055.761952771332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outlineLevel="1" x14ac:dyDescent="0.25">
      <c r="A168" s="1" t="s">
        <v>235</v>
      </c>
      <c r="B168" s="1"/>
      <c r="C168" s="1"/>
      <c r="D168" s="60">
        <f>D167*D155</f>
        <v>7395.1985327060938</v>
      </c>
      <c r="E168" s="60">
        <f>E167*D155</f>
        <v>9126.3803623431904</v>
      </c>
      <c r="F168" s="60">
        <f>F167*D155</f>
        <v>10817.686998207884</v>
      </c>
      <c r="G168" s="60">
        <f>G167*D155</f>
        <v>12143.931773297491</v>
      </c>
      <c r="H168" s="60">
        <f>H167*D155</f>
        <v>13314.988451362009</v>
      </c>
      <c r="I168" s="60">
        <f>I167*D155</f>
        <v>14263.940488192833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outlineLevel="1" x14ac:dyDescent="0.25">
      <c r="A169" s="94" t="s">
        <v>236</v>
      </c>
      <c r="B169" s="94"/>
      <c r="C169" s="94"/>
      <c r="D169" s="135">
        <f t="shared" ref="D169:I169" si="59">D167-D168</f>
        <v>22185.595598118281</v>
      </c>
      <c r="E169" s="135">
        <f t="shared" si="59"/>
        <v>27379.141087029573</v>
      </c>
      <c r="F169" s="135">
        <f t="shared" si="59"/>
        <v>32453.060994623651</v>
      </c>
      <c r="G169" s="135">
        <f t="shared" si="59"/>
        <v>36431.795319892473</v>
      </c>
      <c r="H169" s="135">
        <f t="shared" si="59"/>
        <v>39944.965354086031</v>
      </c>
      <c r="I169" s="135">
        <f t="shared" si="59"/>
        <v>42791.821464578497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outlineLevel="1" x14ac:dyDescent="0.25">
      <c r="A170" s="1" t="s">
        <v>237</v>
      </c>
      <c r="B170" s="1"/>
      <c r="C170" s="1"/>
      <c r="D170" s="60">
        <f t="shared" ref="D170:I170" si="60">+I108</f>
        <v>4202.6265681003588</v>
      </c>
      <c r="E170" s="60">
        <f t="shared" si="60"/>
        <v>4512.101254480287</v>
      </c>
      <c r="F170" s="60">
        <f t="shared" si="60"/>
        <v>4759.68100358423</v>
      </c>
      <c r="G170" s="60">
        <f t="shared" si="60"/>
        <v>4957.7448028673844</v>
      </c>
      <c r="H170" s="60">
        <f t="shared" si="60"/>
        <v>5116.1958422939078</v>
      </c>
      <c r="I170" s="60">
        <f t="shared" si="60"/>
        <v>5242.9566738351268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outlineLevel="1" x14ac:dyDescent="0.25">
      <c r="A171" s="1" t="s">
        <v>238</v>
      </c>
      <c r="B171" s="1"/>
      <c r="C171" s="1"/>
      <c r="D171" s="60">
        <f t="shared" ref="D171:I171" si="61">D167+D170</f>
        <v>33783.420698924732</v>
      </c>
      <c r="E171" s="60">
        <f t="shared" si="61"/>
        <v>41017.622703853049</v>
      </c>
      <c r="F171" s="60">
        <f t="shared" si="61"/>
        <v>48030.428996415765</v>
      </c>
      <c r="G171" s="60">
        <f t="shared" si="61"/>
        <v>53533.471896057345</v>
      </c>
      <c r="H171" s="60">
        <f t="shared" si="61"/>
        <v>58376.149647741942</v>
      </c>
      <c r="I171" s="60">
        <f t="shared" si="61"/>
        <v>62298.71862660646</v>
      </c>
      <c r="J171" s="1"/>
      <c r="K171" s="1">
        <f>SUM(D171:I171)</f>
        <v>297039.81256959931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outlineLevel="1" x14ac:dyDescent="0.25">
      <c r="A172" s="1" t="s">
        <v>239</v>
      </c>
      <c r="B172" s="1"/>
      <c r="C172" s="1"/>
      <c r="D172" s="1">
        <f t="shared" ref="D172:I172" si="62">-I113</f>
        <v>5750</v>
      </c>
      <c r="E172" s="1">
        <f t="shared" si="62"/>
        <v>5750</v>
      </c>
      <c r="F172" s="1">
        <f t="shared" si="62"/>
        <v>5750</v>
      </c>
      <c r="G172" s="1">
        <f t="shared" si="62"/>
        <v>5750</v>
      </c>
      <c r="H172" s="1">
        <f t="shared" si="62"/>
        <v>5750</v>
      </c>
      <c r="I172" s="1">
        <f t="shared" si="62"/>
        <v>5750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outlineLevel="1" x14ac:dyDescent="0.25">
      <c r="A173" s="1" t="s">
        <v>240</v>
      </c>
      <c r="B173" s="1"/>
      <c r="C173" s="1"/>
      <c r="D173" s="1">
        <f t="shared" ref="D173:I173" si="63">I136</f>
        <v>2477.4315313988336</v>
      </c>
      <c r="E173" s="1">
        <f t="shared" si="63"/>
        <v>148</v>
      </c>
      <c r="F173" s="1">
        <f t="shared" si="63"/>
        <v>1079.3639560318188</v>
      </c>
      <c r="G173" s="1">
        <f t="shared" si="63"/>
        <v>1110.2029262041506</v>
      </c>
      <c r="H173" s="1">
        <f t="shared" si="63"/>
        <v>976.97857505966022</v>
      </c>
      <c r="I173" s="1">
        <f t="shared" si="63"/>
        <v>791.35264579832074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outlineLevel="1" x14ac:dyDescent="0.25">
      <c r="A174" s="97" t="s">
        <v>241</v>
      </c>
      <c r="B174" s="97"/>
      <c r="C174" s="97"/>
      <c r="D174" s="97">
        <f t="shared" ref="D174:I174" si="64">D169+D170-D172-D173</f>
        <v>18160.790634819808</v>
      </c>
      <c r="E174" s="97">
        <f t="shared" si="64"/>
        <v>25993.24234150986</v>
      </c>
      <c r="F174" s="97">
        <f t="shared" si="64"/>
        <v>30383.37804217606</v>
      </c>
      <c r="G174" s="97">
        <f t="shared" si="64"/>
        <v>34529.337196555702</v>
      </c>
      <c r="H174" s="97">
        <f t="shared" si="64"/>
        <v>38334.182621320273</v>
      </c>
      <c r="I174" s="97">
        <f t="shared" si="64"/>
        <v>41493.425492615308</v>
      </c>
      <c r="J174" s="97">
        <f>N164</f>
        <v>11.173281465166223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outlineLevel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outlineLevel="1" x14ac:dyDescent="0.25">
      <c r="A176" s="14" t="s">
        <v>242</v>
      </c>
      <c r="B176" s="14"/>
      <c r="C176" s="14">
        <v>0</v>
      </c>
      <c r="D176" s="14">
        <f t="shared" ref="D176:J176" si="65">D174*D165</f>
        <v>9080.3953174099042</v>
      </c>
      <c r="E176" s="14">
        <f t="shared" si="65"/>
        <v>25993.24234150986</v>
      </c>
      <c r="F176" s="14">
        <f t="shared" si="65"/>
        <v>30383.37804217606</v>
      </c>
      <c r="G176" s="14">
        <f t="shared" si="65"/>
        <v>34529.337196555702</v>
      </c>
      <c r="H176" s="14">
        <f t="shared" si="65"/>
        <v>38334.182621320273</v>
      </c>
      <c r="I176" s="14">
        <f t="shared" si="65"/>
        <v>41493.425492615308</v>
      </c>
      <c r="J176" s="14">
        <f t="shared" si="65"/>
        <v>11.173281465166223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outlineLevel="1" x14ac:dyDescent="0.25">
      <c r="A177" s="147" t="s">
        <v>277</v>
      </c>
      <c r="B177" s="1"/>
      <c r="C177" s="1"/>
      <c r="D177" s="1">
        <f>D176/(1.12)^1</f>
        <v>8107.4958191159849</v>
      </c>
      <c r="E177" s="1">
        <f>E176/(1.12)^2</f>
        <v>20721.653652351608</v>
      </c>
      <c r="F177" s="1">
        <f>F176/(1.12)^3</f>
        <v>21626.288352268624</v>
      </c>
      <c r="G177" s="1">
        <f>G176/(1.12)^4</f>
        <v>21944.01802374754</v>
      </c>
      <c r="H177" s="1">
        <f>H176/(1.12)^5</f>
        <v>21751.844711358332</v>
      </c>
      <c r="I177" s="1">
        <f>I176/(1.12)^6</f>
        <v>21021.860678811314</v>
      </c>
      <c r="J177" s="1"/>
      <c r="K177" s="1">
        <f>SUM(D177:I177)</f>
        <v>115173.16123765339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outlineLevel="1" x14ac:dyDescent="0.25">
      <c r="A178" s="14" t="s">
        <v>243</v>
      </c>
      <c r="B178" s="14"/>
      <c r="C178" s="14">
        <f>-G185</f>
        <v>-184515.68326825509</v>
      </c>
      <c r="D178" s="14">
        <f t="shared" ref="D178:J178" si="66">D176</f>
        <v>9080.3953174099042</v>
      </c>
      <c r="E178" s="14">
        <f t="shared" si="66"/>
        <v>25993.24234150986</v>
      </c>
      <c r="F178" s="14">
        <f t="shared" si="66"/>
        <v>30383.37804217606</v>
      </c>
      <c r="G178" s="14">
        <f t="shared" si="66"/>
        <v>34529.337196555702</v>
      </c>
      <c r="H178" s="14">
        <f t="shared" si="66"/>
        <v>38334.182621320273</v>
      </c>
      <c r="I178" s="14">
        <f t="shared" si="66"/>
        <v>41493.425492615308</v>
      </c>
      <c r="J178" s="14">
        <f t="shared" si="66"/>
        <v>11.173281465166223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outlineLevel="1" x14ac:dyDescent="0.25">
      <c r="A179" s="147" t="s">
        <v>231</v>
      </c>
      <c r="B179" s="38"/>
      <c r="C179" s="1">
        <f>I176*1.12/(D156-D157)</f>
        <v>580907.9568966144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outlineLevel="1" x14ac:dyDescent="0.25">
      <c r="A180" s="147" t="s">
        <v>63</v>
      </c>
      <c r="B180" s="38"/>
      <c r="C180" s="1">
        <f>C179+K177</f>
        <v>696081.11813426774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outlineLevel="1" x14ac:dyDescent="0.25">
      <c r="A181" s="14" t="s">
        <v>244</v>
      </c>
      <c r="B181" s="1"/>
      <c r="C181" s="1">
        <f>SUM(C178:C180)</f>
        <v>1092473.3917626271</v>
      </c>
      <c r="D181" s="1"/>
      <c r="E181" s="14" t="s">
        <v>245</v>
      </c>
      <c r="F181" s="1"/>
      <c r="G181" s="12" t="s">
        <v>245</v>
      </c>
      <c r="H181" s="12" t="s">
        <v>275</v>
      </c>
      <c r="I181" s="1"/>
      <c r="J181" s="14" t="s">
        <v>246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outlineLevel="1" x14ac:dyDescent="0.25">
      <c r="A182" s="94" t="s">
        <v>63</v>
      </c>
      <c r="B182" s="94"/>
      <c r="C182" s="94">
        <f>C180</f>
        <v>696081.11813426774</v>
      </c>
      <c r="D182" s="1"/>
      <c r="E182" s="94" t="s">
        <v>247</v>
      </c>
      <c r="F182" s="94"/>
      <c r="G182" s="94">
        <f>C159*C160</f>
        <v>432500</v>
      </c>
      <c r="H182" s="94">
        <f>C160*'M&amp;A Assumptions &amp; Analysis'!D34</f>
        <v>497375</v>
      </c>
      <c r="I182" s="1"/>
      <c r="J182" s="94" t="s">
        <v>276</v>
      </c>
      <c r="K182" s="94"/>
      <c r="L182" s="115">
        <f>XIRR(C178:J178,C164:J164)</f>
        <v>-7.167825102806091E-3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outlineLevel="1" x14ac:dyDescent="0.25">
      <c r="A183" s="1" t="s">
        <v>249</v>
      </c>
      <c r="B183" s="1"/>
      <c r="C183" s="1">
        <f>+O81</f>
        <v>254785.31673174491</v>
      </c>
      <c r="D183" s="1"/>
      <c r="E183" s="1" t="s">
        <v>250</v>
      </c>
      <c r="F183" s="1"/>
      <c r="G183" s="1">
        <f>C184</f>
        <v>6801</v>
      </c>
      <c r="H183" s="1">
        <f t="shared" ref="H183:H184" si="67">G183</f>
        <v>6801</v>
      </c>
      <c r="I183" s="1"/>
      <c r="J183" s="1"/>
      <c r="K183" s="1"/>
      <c r="L183" s="33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outlineLevel="1" x14ac:dyDescent="0.25">
      <c r="A184" s="1" t="s">
        <v>251</v>
      </c>
      <c r="B184" s="1"/>
      <c r="C184" s="1">
        <f>O93</f>
        <v>6801</v>
      </c>
      <c r="D184" s="1"/>
      <c r="E184" s="1" t="s">
        <v>252</v>
      </c>
      <c r="F184" s="1"/>
      <c r="G184" s="1">
        <f>O81</f>
        <v>254785.31673174491</v>
      </c>
      <c r="H184" s="1">
        <f t="shared" si="67"/>
        <v>254785.31673174491</v>
      </c>
      <c r="I184" s="1"/>
      <c r="J184" s="1"/>
      <c r="K184" s="1"/>
      <c r="L184" s="38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outlineLevel="1" x14ac:dyDescent="0.25">
      <c r="A185" s="1" t="s">
        <v>253</v>
      </c>
      <c r="B185" s="1"/>
      <c r="C185" s="94">
        <f>C182+C183-C184</f>
        <v>944065.43486601266</v>
      </c>
      <c r="D185" s="1"/>
      <c r="E185" s="1" t="s">
        <v>63</v>
      </c>
      <c r="F185" s="1"/>
      <c r="G185" s="94">
        <f t="shared" ref="G185:H185" si="68">G182+G183-G184</f>
        <v>184515.68326825509</v>
      </c>
      <c r="H185" s="94">
        <f t="shared" si="68"/>
        <v>249390.68326825509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outlineLevel="1" x14ac:dyDescent="0.25">
      <c r="A186" s="1"/>
      <c r="B186" s="1"/>
      <c r="C186" s="1"/>
      <c r="D186" s="1"/>
      <c r="E186" s="1"/>
      <c r="F186" s="1"/>
      <c r="G186" s="3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outlineLevel="1" x14ac:dyDescent="0.25">
      <c r="A187" s="14" t="s">
        <v>149</v>
      </c>
      <c r="B187" s="1"/>
      <c r="C187" s="136">
        <f>C185/C160</f>
        <v>37.762617394640507</v>
      </c>
      <c r="D187" s="1"/>
      <c r="E187" s="14" t="s">
        <v>149</v>
      </c>
      <c r="F187" s="14"/>
      <c r="G187" s="136">
        <f>C185/C160</f>
        <v>37.762617394640507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outlineLevel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outlineLevel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x14ac:dyDescent="0.2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x14ac:dyDescent="0.2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x14ac:dyDescent="0.2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x14ac:dyDescent="0.2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x14ac:dyDescent="0.2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x14ac:dyDescent="0.2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x14ac:dyDescent="0.2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x14ac:dyDescent="0.2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x14ac:dyDescent="0.2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x14ac:dyDescent="0.2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x14ac:dyDescent="0.2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x14ac:dyDescent="0.2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x14ac:dyDescent="0.2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x14ac:dyDescent="0.2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x14ac:dyDescent="0.2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x14ac:dyDescent="0.2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x14ac:dyDescent="0.2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x14ac:dyDescent="0.2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x14ac:dyDescent="0.2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x14ac:dyDescent="0.2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x14ac:dyDescent="0.2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x14ac:dyDescent="0.2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x14ac:dyDescent="0.2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x14ac:dyDescent="0.2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x14ac:dyDescent="0.2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x14ac:dyDescent="0.2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x14ac:dyDescent="0.2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x14ac:dyDescent="0.2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x14ac:dyDescent="0.2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x14ac:dyDescent="0.2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x14ac:dyDescent="0.2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x14ac:dyDescent="0.2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x14ac:dyDescent="0.2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x14ac:dyDescent="0.2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x14ac:dyDescent="0.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x14ac:dyDescent="0.2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x14ac:dyDescent="0.2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x14ac:dyDescent="0.2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x14ac:dyDescent="0.2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x14ac:dyDescent="0.2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x14ac:dyDescent="0.2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x14ac:dyDescent="0.2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x14ac:dyDescent="0.2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x14ac:dyDescent="0.2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x14ac:dyDescent="0.2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x14ac:dyDescent="0.2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x14ac:dyDescent="0.2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x14ac:dyDescent="0.2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x14ac:dyDescent="0.2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x14ac:dyDescent="0.2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x14ac:dyDescent="0.2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x14ac:dyDescent="0.2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x14ac:dyDescent="0.2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x14ac:dyDescent="0.2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x14ac:dyDescent="0.2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x14ac:dyDescent="0.2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x14ac:dyDescent="0.2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x14ac:dyDescent="0.2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x14ac:dyDescent="0.2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x14ac:dyDescent="0.2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x14ac:dyDescent="0.2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x14ac:dyDescent="0.2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x14ac:dyDescent="0.2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x14ac:dyDescent="0.2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x14ac:dyDescent="0.2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x14ac:dyDescent="0.2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x14ac:dyDescent="0.2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x14ac:dyDescent="0.2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x14ac:dyDescent="0.2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x14ac:dyDescent="0.2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x14ac:dyDescent="0.2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x14ac:dyDescent="0.2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x14ac:dyDescent="0.2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x14ac:dyDescent="0.2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x14ac:dyDescent="0.2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x14ac:dyDescent="0.2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x14ac:dyDescent="0.2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x14ac:dyDescent="0.2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x14ac:dyDescent="0.2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x14ac:dyDescent="0.2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x14ac:dyDescent="0.2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x14ac:dyDescent="0.2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x14ac:dyDescent="0.2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x14ac:dyDescent="0.2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x14ac:dyDescent="0.2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x14ac:dyDescent="0.2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x14ac:dyDescent="0.2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x14ac:dyDescent="0.2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x14ac:dyDescent="0.2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x14ac:dyDescent="0.2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x14ac:dyDescent="0.2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x14ac:dyDescent="0.2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x14ac:dyDescent="0.2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x14ac:dyDescent="0.2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x14ac:dyDescent="0.2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x14ac:dyDescent="0.2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x14ac:dyDescent="0.2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x14ac:dyDescent="0.2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x14ac:dyDescent="0.2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x14ac:dyDescent="0.2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x14ac:dyDescent="0.2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x14ac:dyDescent="0.2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x14ac:dyDescent="0.2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x14ac:dyDescent="0.2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x14ac:dyDescent="0.2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x14ac:dyDescent="0.2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x14ac:dyDescent="0.2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x14ac:dyDescent="0.2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x14ac:dyDescent="0.2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x14ac:dyDescent="0.2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x14ac:dyDescent="0.2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x14ac:dyDescent="0.2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x14ac:dyDescent="0.2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x14ac:dyDescent="0.2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x14ac:dyDescent="0.2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x14ac:dyDescent="0.2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x14ac:dyDescent="0.2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x14ac:dyDescent="0.2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x14ac:dyDescent="0.2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x14ac:dyDescent="0.2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x14ac:dyDescent="0.2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x14ac:dyDescent="0.2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x14ac:dyDescent="0.2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x14ac:dyDescent="0.2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x14ac:dyDescent="0.2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x14ac:dyDescent="0.2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x14ac:dyDescent="0.2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x14ac:dyDescent="0.2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x14ac:dyDescent="0.2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x14ac:dyDescent="0.2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x14ac:dyDescent="0.2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x14ac:dyDescent="0.2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x14ac:dyDescent="0.2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x14ac:dyDescent="0.2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x14ac:dyDescent="0.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x14ac:dyDescent="0.2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x14ac:dyDescent="0.2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x14ac:dyDescent="0.2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x14ac:dyDescent="0.2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x14ac:dyDescent="0.2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x14ac:dyDescent="0.2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x14ac:dyDescent="0.2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x14ac:dyDescent="0.2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x14ac:dyDescent="0.2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x14ac:dyDescent="0.2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x14ac:dyDescent="0.2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x14ac:dyDescent="0.2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x14ac:dyDescent="0.2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x14ac:dyDescent="0.2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x14ac:dyDescent="0.2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x14ac:dyDescent="0.2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x14ac:dyDescent="0.2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x14ac:dyDescent="0.2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x14ac:dyDescent="0.2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x14ac:dyDescent="0.2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x14ac:dyDescent="0.2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x14ac:dyDescent="0.2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x14ac:dyDescent="0.2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x14ac:dyDescent="0.2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x14ac:dyDescent="0.2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x14ac:dyDescent="0.2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x14ac:dyDescent="0.2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x14ac:dyDescent="0.2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x14ac:dyDescent="0.2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x14ac:dyDescent="0.2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x14ac:dyDescent="0.2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x14ac:dyDescent="0.2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x14ac:dyDescent="0.2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x14ac:dyDescent="0.2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x14ac:dyDescent="0.2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x14ac:dyDescent="0.2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x14ac:dyDescent="0.2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x14ac:dyDescent="0.2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x14ac:dyDescent="0.2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x14ac:dyDescent="0.2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x14ac:dyDescent="0.2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x14ac:dyDescent="0.2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x14ac:dyDescent="0.2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x14ac:dyDescent="0.2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x14ac:dyDescent="0.2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x14ac:dyDescent="0.2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x14ac:dyDescent="0.2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x14ac:dyDescent="0.2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x14ac:dyDescent="0.2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x14ac:dyDescent="0.2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x14ac:dyDescent="0.2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x14ac:dyDescent="0.2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x14ac:dyDescent="0.2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x14ac:dyDescent="0.2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x14ac:dyDescent="0.2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x14ac:dyDescent="0.2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x14ac:dyDescent="0.2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x14ac:dyDescent="0.2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x14ac:dyDescent="0.2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x14ac:dyDescent="0.2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x14ac:dyDescent="0.2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x14ac:dyDescent="0.2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x14ac:dyDescent="0.2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x14ac:dyDescent="0.2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x14ac:dyDescent="0.2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x14ac:dyDescent="0.2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x14ac:dyDescent="0.2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x14ac:dyDescent="0.2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x14ac:dyDescent="0.2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x14ac:dyDescent="0.2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x14ac:dyDescent="0.2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x14ac:dyDescent="0.2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x14ac:dyDescent="0.2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x14ac:dyDescent="0.2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x14ac:dyDescent="0.2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x14ac:dyDescent="0.2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x14ac:dyDescent="0.2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x14ac:dyDescent="0.2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x14ac:dyDescent="0.2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x14ac:dyDescent="0.2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x14ac:dyDescent="0.2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x14ac:dyDescent="0.2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x14ac:dyDescent="0.2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x14ac:dyDescent="0.2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x14ac:dyDescent="0.2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x14ac:dyDescent="0.2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x14ac:dyDescent="0.2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x14ac:dyDescent="0.2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x14ac:dyDescent="0.2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x14ac:dyDescent="0.2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x14ac:dyDescent="0.2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x14ac:dyDescent="0.2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x14ac:dyDescent="0.2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x14ac:dyDescent="0.2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x14ac:dyDescent="0.2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x14ac:dyDescent="0.2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x14ac:dyDescent="0.2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x14ac:dyDescent="0.2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x14ac:dyDescent="0.2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x14ac:dyDescent="0.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x14ac:dyDescent="0.2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x14ac:dyDescent="0.2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x14ac:dyDescent="0.2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x14ac:dyDescent="0.2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x14ac:dyDescent="0.2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x14ac:dyDescent="0.2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x14ac:dyDescent="0.2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x14ac:dyDescent="0.2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x14ac:dyDescent="0.2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x14ac:dyDescent="0.2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x14ac:dyDescent="0.2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x14ac:dyDescent="0.2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x14ac:dyDescent="0.2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x14ac:dyDescent="0.2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x14ac:dyDescent="0.2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x14ac:dyDescent="0.2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x14ac:dyDescent="0.2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x14ac:dyDescent="0.2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x14ac:dyDescent="0.2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x14ac:dyDescent="0.2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x14ac:dyDescent="0.2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x14ac:dyDescent="0.2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x14ac:dyDescent="0.2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x14ac:dyDescent="0.2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x14ac:dyDescent="0.2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x14ac:dyDescent="0.2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x14ac:dyDescent="0.2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x14ac:dyDescent="0.2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x14ac:dyDescent="0.2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x14ac:dyDescent="0.2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x14ac:dyDescent="0.2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x14ac:dyDescent="0.2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x14ac:dyDescent="0.2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x14ac:dyDescent="0.2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x14ac:dyDescent="0.2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x14ac:dyDescent="0.2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x14ac:dyDescent="0.2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x14ac:dyDescent="0.2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x14ac:dyDescent="0.2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x14ac:dyDescent="0.2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x14ac:dyDescent="0.2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x14ac:dyDescent="0.2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x14ac:dyDescent="0.2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x14ac:dyDescent="0.2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x14ac:dyDescent="0.2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x14ac:dyDescent="0.2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x14ac:dyDescent="0.2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x14ac:dyDescent="0.2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x14ac:dyDescent="0.2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x14ac:dyDescent="0.2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x14ac:dyDescent="0.2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x14ac:dyDescent="0.2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x14ac:dyDescent="0.2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x14ac:dyDescent="0.2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x14ac:dyDescent="0.2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x14ac:dyDescent="0.2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x14ac:dyDescent="0.2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x14ac:dyDescent="0.2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x14ac:dyDescent="0.2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x14ac:dyDescent="0.2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x14ac:dyDescent="0.2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x14ac:dyDescent="0.2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x14ac:dyDescent="0.2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x14ac:dyDescent="0.2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x14ac:dyDescent="0.2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x14ac:dyDescent="0.2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x14ac:dyDescent="0.2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x14ac:dyDescent="0.2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x14ac:dyDescent="0.2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x14ac:dyDescent="0.2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x14ac:dyDescent="0.2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x14ac:dyDescent="0.2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x14ac:dyDescent="0.2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x14ac:dyDescent="0.2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x14ac:dyDescent="0.2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x14ac:dyDescent="0.2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x14ac:dyDescent="0.2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x14ac:dyDescent="0.2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x14ac:dyDescent="0.2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x14ac:dyDescent="0.2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x14ac:dyDescent="0.2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x14ac:dyDescent="0.2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x14ac:dyDescent="0.2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x14ac:dyDescent="0.2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x14ac:dyDescent="0.2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x14ac:dyDescent="0.2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x14ac:dyDescent="0.2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x14ac:dyDescent="0.2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x14ac:dyDescent="0.2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x14ac:dyDescent="0.2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x14ac:dyDescent="0.2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x14ac:dyDescent="0.2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x14ac:dyDescent="0.2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x14ac:dyDescent="0.2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x14ac:dyDescent="0.2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x14ac:dyDescent="0.2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x14ac:dyDescent="0.2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x14ac:dyDescent="0.2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x14ac:dyDescent="0.2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x14ac:dyDescent="0.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x14ac:dyDescent="0.2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x14ac:dyDescent="0.2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x14ac:dyDescent="0.2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x14ac:dyDescent="0.2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x14ac:dyDescent="0.2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x14ac:dyDescent="0.2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x14ac:dyDescent="0.2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x14ac:dyDescent="0.2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x14ac:dyDescent="0.2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x14ac:dyDescent="0.2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x14ac:dyDescent="0.2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x14ac:dyDescent="0.2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x14ac:dyDescent="0.2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x14ac:dyDescent="0.2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x14ac:dyDescent="0.2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x14ac:dyDescent="0.2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x14ac:dyDescent="0.2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x14ac:dyDescent="0.2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x14ac:dyDescent="0.2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x14ac:dyDescent="0.2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x14ac:dyDescent="0.2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x14ac:dyDescent="0.2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x14ac:dyDescent="0.2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x14ac:dyDescent="0.2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x14ac:dyDescent="0.2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x14ac:dyDescent="0.2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x14ac:dyDescent="0.2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x14ac:dyDescent="0.2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x14ac:dyDescent="0.2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x14ac:dyDescent="0.2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x14ac:dyDescent="0.2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x14ac:dyDescent="0.2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x14ac:dyDescent="0.2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x14ac:dyDescent="0.2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x14ac:dyDescent="0.2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x14ac:dyDescent="0.2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x14ac:dyDescent="0.2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x14ac:dyDescent="0.2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x14ac:dyDescent="0.2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x14ac:dyDescent="0.2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x14ac:dyDescent="0.2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x14ac:dyDescent="0.2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x14ac:dyDescent="0.2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x14ac:dyDescent="0.2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x14ac:dyDescent="0.2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x14ac:dyDescent="0.2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x14ac:dyDescent="0.2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x14ac:dyDescent="0.2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x14ac:dyDescent="0.2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x14ac:dyDescent="0.2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x14ac:dyDescent="0.2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x14ac:dyDescent="0.2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x14ac:dyDescent="0.2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x14ac:dyDescent="0.2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x14ac:dyDescent="0.2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x14ac:dyDescent="0.2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x14ac:dyDescent="0.2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x14ac:dyDescent="0.2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x14ac:dyDescent="0.2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x14ac:dyDescent="0.2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x14ac:dyDescent="0.2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x14ac:dyDescent="0.2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x14ac:dyDescent="0.2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x14ac:dyDescent="0.2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x14ac:dyDescent="0.2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x14ac:dyDescent="0.2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x14ac:dyDescent="0.2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x14ac:dyDescent="0.2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x14ac:dyDescent="0.2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x14ac:dyDescent="0.2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x14ac:dyDescent="0.2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x14ac:dyDescent="0.2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x14ac:dyDescent="0.2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x14ac:dyDescent="0.2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x14ac:dyDescent="0.2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x14ac:dyDescent="0.2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x14ac:dyDescent="0.2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x14ac:dyDescent="0.2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x14ac:dyDescent="0.2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x14ac:dyDescent="0.2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x14ac:dyDescent="0.2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x14ac:dyDescent="0.2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x14ac:dyDescent="0.2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x14ac:dyDescent="0.2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x14ac:dyDescent="0.2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x14ac:dyDescent="0.2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x14ac:dyDescent="0.2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x14ac:dyDescent="0.2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x14ac:dyDescent="0.2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x14ac:dyDescent="0.2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x14ac:dyDescent="0.2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x14ac:dyDescent="0.2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x14ac:dyDescent="0.2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x14ac:dyDescent="0.2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x14ac:dyDescent="0.2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x14ac:dyDescent="0.2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x14ac:dyDescent="0.2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x14ac:dyDescent="0.2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x14ac:dyDescent="0.2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x14ac:dyDescent="0.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x14ac:dyDescent="0.2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x14ac:dyDescent="0.2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x14ac:dyDescent="0.2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x14ac:dyDescent="0.2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x14ac:dyDescent="0.2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x14ac:dyDescent="0.2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x14ac:dyDescent="0.2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x14ac:dyDescent="0.2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x14ac:dyDescent="0.2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x14ac:dyDescent="0.2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x14ac:dyDescent="0.2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x14ac:dyDescent="0.2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x14ac:dyDescent="0.2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x14ac:dyDescent="0.2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x14ac:dyDescent="0.2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x14ac:dyDescent="0.2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x14ac:dyDescent="0.2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x14ac:dyDescent="0.2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x14ac:dyDescent="0.2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x14ac:dyDescent="0.2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x14ac:dyDescent="0.2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x14ac:dyDescent="0.2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x14ac:dyDescent="0.2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x14ac:dyDescent="0.2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x14ac:dyDescent="0.2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x14ac:dyDescent="0.2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x14ac:dyDescent="0.2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x14ac:dyDescent="0.2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x14ac:dyDescent="0.2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x14ac:dyDescent="0.2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x14ac:dyDescent="0.2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x14ac:dyDescent="0.2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x14ac:dyDescent="0.2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x14ac:dyDescent="0.2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x14ac:dyDescent="0.2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x14ac:dyDescent="0.2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x14ac:dyDescent="0.2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x14ac:dyDescent="0.2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x14ac:dyDescent="0.2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x14ac:dyDescent="0.2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x14ac:dyDescent="0.2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x14ac:dyDescent="0.2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x14ac:dyDescent="0.2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x14ac:dyDescent="0.2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x14ac:dyDescent="0.2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x14ac:dyDescent="0.2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x14ac:dyDescent="0.2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x14ac:dyDescent="0.2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x14ac:dyDescent="0.2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x14ac:dyDescent="0.2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x14ac:dyDescent="0.2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x14ac:dyDescent="0.2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x14ac:dyDescent="0.2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x14ac:dyDescent="0.2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x14ac:dyDescent="0.2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x14ac:dyDescent="0.2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x14ac:dyDescent="0.2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x14ac:dyDescent="0.2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x14ac:dyDescent="0.2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x14ac:dyDescent="0.2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x14ac:dyDescent="0.2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x14ac:dyDescent="0.2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x14ac:dyDescent="0.2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x14ac:dyDescent="0.2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x14ac:dyDescent="0.2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x14ac:dyDescent="0.2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x14ac:dyDescent="0.2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x14ac:dyDescent="0.2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x14ac:dyDescent="0.2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x14ac:dyDescent="0.2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x14ac:dyDescent="0.2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x14ac:dyDescent="0.2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x14ac:dyDescent="0.2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x14ac:dyDescent="0.2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x14ac:dyDescent="0.2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x14ac:dyDescent="0.2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x14ac:dyDescent="0.2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x14ac:dyDescent="0.2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x14ac:dyDescent="0.2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x14ac:dyDescent="0.2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x14ac:dyDescent="0.2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x14ac:dyDescent="0.2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x14ac:dyDescent="0.2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x14ac:dyDescent="0.2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x14ac:dyDescent="0.2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x14ac:dyDescent="0.2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x14ac:dyDescent="0.2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x14ac:dyDescent="0.2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x14ac:dyDescent="0.2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x14ac:dyDescent="0.2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x14ac:dyDescent="0.2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x14ac:dyDescent="0.2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x14ac:dyDescent="0.2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x14ac:dyDescent="0.2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x14ac:dyDescent="0.2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x14ac:dyDescent="0.2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x14ac:dyDescent="0.2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x14ac:dyDescent="0.2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x14ac:dyDescent="0.2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x14ac:dyDescent="0.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x14ac:dyDescent="0.2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x14ac:dyDescent="0.2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x14ac:dyDescent="0.2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x14ac:dyDescent="0.2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x14ac:dyDescent="0.2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x14ac:dyDescent="0.2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x14ac:dyDescent="0.2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x14ac:dyDescent="0.2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x14ac:dyDescent="0.2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x14ac:dyDescent="0.2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x14ac:dyDescent="0.2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x14ac:dyDescent="0.2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x14ac:dyDescent="0.2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x14ac:dyDescent="0.2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x14ac:dyDescent="0.2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x14ac:dyDescent="0.2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x14ac:dyDescent="0.2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x14ac:dyDescent="0.2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x14ac:dyDescent="0.2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x14ac:dyDescent="0.2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x14ac:dyDescent="0.2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x14ac:dyDescent="0.2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x14ac:dyDescent="0.2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x14ac:dyDescent="0.2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x14ac:dyDescent="0.2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x14ac:dyDescent="0.2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x14ac:dyDescent="0.2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x14ac:dyDescent="0.2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x14ac:dyDescent="0.2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x14ac:dyDescent="0.2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x14ac:dyDescent="0.2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x14ac:dyDescent="0.2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x14ac:dyDescent="0.2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x14ac:dyDescent="0.2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x14ac:dyDescent="0.2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x14ac:dyDescent="0.2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x14ac:dyDescent="0.2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x14ac:dyDescent="0.2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x14ac:dyDescent="0.2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x14ac:dyDescent="0.2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x14ac:dyDescent="0.2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x14ac:dyDescent="0.2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x14ac:dyDescent="0.2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x14ac:dyDescent="0.2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x14ac:dyDescent="0.2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x14ac:dyDescent="0.2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x14ac:dyDescent="0.2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x14ac:dyDescent="0.2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x14ac:dyDescent="0.2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x14ac:dyDescent="0.2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x14ac:dyDescent="0.2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x14ac:dyDescent="0.2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x14ac:dyDescent="0.2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x14ac:dyDescent="0.2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x14ac:dyDescent="0.2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x14ac:dyDescent="0.2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x14ac:dyDescent="0.2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x14ac:dyDescent="0.2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x14ac:dyDescent="0.2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x14ac:dyDescent="0.2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x14ac:dyDescent="0.2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x14ac:dyDescent="0.2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x14ac:dyDescent="0.2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x14ac:dyDescent="0.2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x14ac:dyDescent="0.2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x14ac:dyDescent="0.2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x14ac:dyDescent="0.2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x14ac:dyDescent="0.2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x14ac:dyDescent="0.2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x14ac:dyDescent="0.2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x14ac:dyDescent="0.2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x14ac:dyDescent="0.2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x14ac:dyDescent="0.2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x14ac:dyDescent="0.2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x14ac:dyDescent="0.2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x14ac:dyDescent="0.2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x14ac:dyDescent="0.2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x14ac:dyDescent="0.2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x14ac:dyDescent="0.2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x14ac:dyDescent="0.2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x14ac:dyDescent="0.2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x14ac:dyDescent="0.2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x14ac:dyDescent="0.2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x14ac:dyDescent="0.2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x14ac:dyDescent="0.2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x14ac:dyDescent="0.2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x14ac:dyDescent="0.2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x14ac:dyDescent="0.2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x14ac:dyDescent="0.2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x14ac:dyDescent="0.2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x14ac:dyDescent="0.2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x14ac:dyDescent="0.2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x14ac:dyDescent="0.2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x14ac:dyDescent="0.2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x14ac:dyDescent="0.2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x14ac:dyDescent="0.2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x14ac:dyDescent="0.2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x14ac:dyDescent="0.2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x14ac:dyDescent="0.2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x14ac:dyDescent="0.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x14ac:dyDescent="0.2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x14ac:dyDescent="0.2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x14ac:dyDescent="0.2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x14ac:dyDescent="0.2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x14ac:dyDescent="0.2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x14ac:dyDescent="0.2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x14ac:dyDescent="0.2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x14ac:dyDescent="0.2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x14ac:dyDescent="0.2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x14ac:dyDescent="0.2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x14ac:dyDescent="0.2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x14ac:dyDescent="0.2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x14ac:dyDescent="0.2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x14ac:dyDescent="0.2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x14ac:dyDescent="0.2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x14ac:dyDescent="0.2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x14ac:dyDescent="0.2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x14ac:dyDescent="0.2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x14ac:dyDescent="0.2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x14ac:dyDescent="0.2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x14ac:dyDescent="0.2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x14ac:dyDescent="0.2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x14ac:dyDescent="0.2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x14ac:dyDescent="0.2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x14ac:dyDescent="0.2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x14ac:dyDescent="0.2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x14ac:dyDescent="0.2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x14ac:dyDescent="0.2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x14ac:dyDescent="0.2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x14ac:dyDescent="0.2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x14ac:dyDescent="0.2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x14ac:dyDescent="0.2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x14ac:dyDescent="0.2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x14ac:dyDescent="0.2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x14ac:dyDescent="0.2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x14ac:dyDescent="0.2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x14ac:dyDescent="0.2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x14ac:dyDescent="0.2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x14ac:dyDescent="0.2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x14ac:dyDescent="0.2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x14ac:dyDescent="0.2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x14ac:dyDescent="0.2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x14ac:dyDescent="0.2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x14ac:dyDescent="0.2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x14ac:dyDescent="0.2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x14ac:dyDescent="0.2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x14ac:dyDescent="0.2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x14ac:dyDescent="0.2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x14ac:dyDescent="0.2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x14ac:dyDescent="0.2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x14ac:dyDescent="0.2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x14ac:dyDescent="0.2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x14ac:dyDescent="0.2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x14ac:dyDescent="0.2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x14ac:dyDescent="0.2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x14ac:dyDescent="0.2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x14ac:dyDescent="0.2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x14ac:dyDescent="0.2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x14ac:dyDescent="0.2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x14ac:dyDescent="0.2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x14ac:dyDescent="0.2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x14ac:dyDescent="0.2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x14ac:dyDescent="0.2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x14ac:dyDescent="0.2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x14ac:dyDescent="0.2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x14ac:dyDescent="0.2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x14ac:dyDescent="0.2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x14ac:dyDescent="0.2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x14ac:dyDescent="0.2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x14ac:dyDescent="0.2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x14ac:dyDescent="0.2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x14ac:dyDescent="0.2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x14ac:dyDescent="0.2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x14ac:dyDescent="0.2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x14ac:dyDescent="0.2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x14ac:dyDescent="0.2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x14ac:dyDescent="0.2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x14ac:dyDescent="0.2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x14ac:dyDescent="0.2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x14ac:dyDescent="0.2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x14ac:dyDescent="0.2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x14ac:dyDescent="0.2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x14ac:dyDescent="0.2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x14ac:dyDescent="0.2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x14ac:dyDescent="0.2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x14ac:dyDescent="0.2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x14ac:dyDescent="0.2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x14ac:dyDescent="0.2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x14ac:dyDescent="0.2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x14ac:dyDescent="0.2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x14ac:dyDescent="0.2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x14ac:dyDescent="0.2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x14ac:dyDescent="0.2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x14ac:dyDescent="0.2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x14ac:dyDescent="0.2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x14ac:dyDescent="0.2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x14ac:dyDescent="0.2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x14ac:dyDescent="0.2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x14ac:dyDescent="0.2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x14ac:dyDescent="0.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x14ac:dyDescent="0.2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x14ac:dyDescent="0.2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x14ac:dyDescent="0.2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x14ac:dyDescent="0.2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x14ac:dyDescent="0.2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x14ac:dyDescent="0.2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x14ac:dyDescent="0.2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x14ac:dyDescent="0.2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x14ac:dyDescent="0.2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x14ac:dyDescent="0.2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x14ac:dyDescent="0.2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x14ac:dyDescent="0.2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x14ac:dyDescent="0.2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x14ac:dyDescent="0.2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x14ac:dyDescent="0.2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x14ac:dyDescent="0.2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x14ac:dyDescent="0.2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x14ac:dyDescent="0.2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x14ac:dyDescent="0.2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x14ac:dyDescent="0.2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x14ac:dyDescent="0.2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x14ac:dyDescent="0.2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x14ac:dyDescent="0.2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x14ac:dyDescent="0.2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x14ac:dyDescent="0.2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x14ac:dyDescent="0.2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x14ac:dyDescent="0.2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x14ac:dyDescent="0.2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x14ac:dyDescent="0.2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x14ac:dyDescent="0.2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x14ac:dyDescent="0.2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x14ac:dyDescent="0.2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x14ac:dyDescent="0.2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x14ac:dyDescent="0.2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x14ac:dyDescent="0.2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x14ac:dyDescent="0.2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x14ac:dyDescent="0.2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x14ac:dyDescent="0.2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x14ac:dyDescent="0.2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x14ac:dyDescent="0.2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x14ac:dyDescent="0.2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x14ac:dyDescent="0.2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x14ac:dyDescent="0.2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x14ac:dyDescent="0.2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x14ac:dyDescent="0.2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x14ac:dyDescent="0.2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x14ac:dyDescent="0.2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x14ac:dyDescent="0.2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x14ac:dyDescent="0.2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x14ac:dyDescent="0.2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x14ac:dyDescent="0.2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x14ac:dyDescent="0.2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x14ac:dyDescent="0.2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x14ac:dyDescent="0.2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x14ac:dyDescent="0.2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x14ac:dyDescent="0.2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x14ac:dyDescent="0.2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x14ac:dyDescent="0.2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x14ac:dyDescent="0.2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x14ac:dyDescent="0.2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x14ac:dyDescent="0.2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x14ac:dyDescent="0.2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x14ac:dyDescent="0.2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x14ac:dyDescent="0.2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x14ac:dyDescent="0.2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x14ac:dyDescent="0.2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x14ac:dyDescent="0.2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x14ac:dyDescent="0.2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x14ac:dyDescent="0.2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x14ac:dyDescent="0.2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x14ac:dyDescent="0.2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x14ac:dyDescent="0.25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x14ac:dyDescent="0.25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x14ac:dyDescent="0.25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x14ac:dyDescent="0.25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x14ac:dyDescent="0.25">
      <c r="A1001" s="1"/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3">
    <mergeCell ref="D1:H1"/>
    <mergeCell ref="I1:N1"/>
    <mergeCell ref="O1:P1"/>
  </mergeCells>
  <conditionalFormatting sqref="D4:P6">
    <cfRule type="containsText" dxfId="7" priority="1" operator="containsText" text="OK">
      <formula>NOT(ISERROR(SEARCH(("OK"),(D4))))</formula>
    </cfRule>
    <cfRule type="containsText" dxfId="6" priority="2" operator="containsText" text="ERROR">
      <formula>NOT(ISERROR(SEARCH(("ERROR"),(D4))))</formula>
    </cfRule>
  </conditionalFormatting>
  <conditionalFormatting sqref="G10:H10">
    <cfRule type="containsText" dxfId="5" priority="3" operator="containsText" text="OK">
      <formula>NOT(ISERROR(SEARCH(("OK"),(G10))))</formula>
    </cfRule>
    <cfRule type="containsText" dxfId="4" priority="4" operator="containsText" text="ERROR">
      <formula>NOT(ISERROR(SEARCH(("ERROR"),(G10))))</formula>
    </cfRule>
  </conditionalFormatting>
  <conditionalFormatting sqref="J10">
    <cfRule type="containsText" dxfId="3" priority="5" operator="containsText" text="OK">
      <formula>NOT(ISERROR(SEARCH(("OK"),(J10))))</formula>
    </cfRule>
    <cfRule type="containsText" dxfId="2" priority="6" operator="containsText" text="ERROR">
      <formula>NOT(ISERROR(SEARCH(("ERROR"),(J10))))</formula>
    </cfRule>
  </conditionalFormatting>
  <conditionalFormatting sqref="O5">
    <cfRule type="containsText" dxfId="1" priority="7" operator="containsText" text="OK">
      <formula>NOT(ISERROR(SEARCH(("OK"),(O5))))</formula>
    </cfRule>
    <cfRule type="containsText" dxfId="0" priority="8" operator="containsText" text="ERROR">
      <formula>NOT(ISERROR(SEARCH(("ERROR"),(O5))))</formula>
    </cfRule>
  </conditionalFormatting>
  <dataValidations count="1">
    <dataValidation type="list" allowBlank="1" showErrorMessage="1" sqref="I10" xr:uid="{00000000-0002-0000-0300-000000000000}">
      <formula1>"1,2"</formula1>
    </dataValidation>
  </dataValidations>
  <pageMargins left="0.7" right="0.7" top="0.75" bottom="0.75" header="0" footer="0"/>
  <pageSetup scale="82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99C92BA38D144A9849FA6D6E94EAA" ma:contentTypeVersion="11" ma:contentTypeDescription="Create a new document." ma:contentTypeScope="" ma:versionID="2670e795d918deb6f13c7dae643f3159">
  <xsd:schema xmlns:xsd="http://www.w3.org/2001/XMLSchema" xmlns:xs="http://www.w3.org/2001/XMLSchema" xmlns:p="http://schemas.microsoft.com/office/2006/metadata/properties" xmlns:ns2="469dcca7-7435-4470-9c36-20869203f438" xmlns:ns3="45db24dd-e01c-4832-a610-64a39680c148" targetNamespace="http://schemas.microsoft.com/office/2006/metadata/properties" ma:root="true" ma:fieldsID="3d388981019c61e9a6aa50124396912e" ns2:_="" ns3:_="">
    <xsd:import namespace="469dcca7-7435-4470-9c36-20869203f438"/>
    <xsd:import namespace="45db24dd-e01c-4832-a610-64a39680c1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9dcca7-7435-4470-9c36-20869203f4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deba053-6a4e-4e58-aa7e-5a8bfe396c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b24dd-e01c-4832-a610-64a39680c1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38ac0e1-44fd-4260-8f03-73e1ee69dd1f}" ma:internalName="TaxCatchAll" ma:showField="CatchAllData" ma:web="45db24dd-e01c-4832-a610-64a39680c1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9dcca7-7435-4470-9c36-20869203f438">
      <Terms xmlns="http://schemas.microsoft.com/office/infopath/2007/PartnerControls"/>
    </lcf76f155ced4ddcb4097134ff3c332f>
    <TaxCatchAll xmlns="45db24dd-e01c-4832-a610-64a39680c148" xsi:nil="true"/>
  </documentManagement>
</p:properties>
</file>

<file path=customXml/itemProps1.xml><?xml version="1.0" encoding="utf-8"?>
<ds:datastoreItem xmlns:ds="http://schemas.openxmlformats.org/officeDocument/2006/customXml" ds:itemID="{5CCAD4C6-55CB-43AA-936A-E7D3E70F3A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9dcca7-7435-4470-9c36-20869203f438"/>
    <ds:schemaRef ds:uri="45db24dd-e01c-4832-a610-64a39680c1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D61805-6A5B-4D92-8D68-95659B774A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1E2FA5-63DA-4669-A56C-7F7371FD472A}">
  <ds:schemaRefs>
    <ds:schemaRef ds:uri="http://schemas.microsoft.com/office/2006/metadata/properties"/>
    <ds:schemaRef ds:uri="http://schemas.microsoft.com/office/infopath/2007/PartnerControls"/>
    <ds:schemaRef ds:uri="469dcca7-7435-4470-9c36-20869203f438"/>
    <ds:schemaRef ds:uri="45db24dd-e01c-4832-a610-64a39680c14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M&amp;A Assumptions &amp; Analysis</vt:lpstr>
      <vt:lpstr>Pro Forma Model</vt:lpstr>
      <vt:lpstr>Acquirer Model</vt:lpstr>
      <vt:lpstr>Target 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Vandana Haldipur</dc:creator>
  <cp:keywords/>
  <dc:description/>
  <cp:lastModifiedBy>Vandana Haldipur</cp:lastModifiedBy>
  <cp:revision/>
  <dcterms:created xsi:type="dcterms:W3CDTF">2004-07-20T21:40:42Z</dcterms:created>
  <dcterms:modified xsi:type="dcterms:W3CDTF">2025-09-23T05:53:45Z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8.6.2.281 (http://officewriter.softartisans.com)</vt:lpwstr>
  </property>
  <property fmtid="{D5CDD505-2E9C-101B-9397-08002B2CF9AE}" pid="3" name="MSIP_Label_9b9dd4f1-9671-4b90-8af7-f1ebbb519e1d_Enabled">
    <vt:lpwstr>true</vt:lpwstr>
  </property>
  <property fmtid="{D5CDD505-2E9C-101B-9397-08002B2CF9AE}" pid="4" name="MSIP_Label_9b9dd4f1-9671-4b90-8af7-f1ebbb519e1d_SetDate">
    <vt:lpwstr>2025-03-18T03:44:38Z</vt:lpwstr>
  </property>
  <property fmtid="{D5CDD505-2E9C-101B-9397-08002B2CF9AE}" pid="5" name="MSIP_Label_9b9dd4f1-9671-4b90-8af7-f1ebbb519e1d_Method">
    <vt:lpwstr>Privileged</vt:lpwstr>
  </property>
  <property fmtid="{D5CDD505-2E9C-101B-9397-08002B2CF9AE}" pid="6" name="MSIP_Label_9b9dd4f1-9671-4b90-8af7-f1ebbb519e1d_Name">
    <vt:lpwstr>Confidential</vt:lpwstr>
  </property>
  <property fmtid="{D5CDD505-2E9C-101B-9397-08002B2CF9AE}" pid="7" name="MSIP_Label_9b9dd4f1-9671-4b90-8af7-f1ebbb519e1d_SiteId">
    <vt:lpwstr>927e65b8-7ad7-48db-a3c6-c42a67c100d6</vt:lpwstr>
  </property>
  <property fmtid="{D5CDD505-2E9C-101B-9397-08002B2CF9AE}" pid="8" name="MSIP_Label_9b9dd4f1-9671-4b90-8af7-f1ebbb519e1d_ActionId">
    <vt:lpwstr>49549652-fa92-4d0b-9ef2-9b2f54426ab4</vt:lpwstr>
  </property>
  <property fmtid="{D5CDD505-2E9C-101B-9397-08002B2CF9AE}" pid="9" name="MSIP_Label_9b9dd4f1-9671-4b90-8af7-f1ebbb519e1d_ContentBits">
    <vt:lpwstr>0</vt:lpwstr>
  </property>
  <property fmtid="{D5CDD505-2E9C-101B-9397-08002B2CF9AE}" pid="10" name="MSIP_Label_9b9dd4f1-9671-4b90-8af7-f1ebbb519e1d_Tag">
    <vt:lpwstr>10, 0, 1, 1</vt:lpwstr>
  </property>
  <property fmtid="{D5CDD505-2E9C-101B-9397-08002B2CF9AE}" pid="11" name="ContentTypeId">
    <vt:lpwstr>0x010100FF799C92BA38D144A9849FA6D6E94EAA</vt:lpwstr>
  </property>
</Properties>
</file>